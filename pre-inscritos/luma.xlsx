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i unidad\GITHUB\trabajocientifico\curso-profesional-ciencia-de-datos\pre-inscritos\"/>
    </mc:Choice>
  </mc:AlternateContent>
  <xr:revisionPtr revIDLastSave="0" documentId="8_{FF8E8422-8CC1-400C-BC34-AD4F2718A76A}" xr6:coauthVersionLast="47" xr6:coauthVersionMax="47" xr10:uidLastSave="{00000000-0000-0000-0000-000000000000}"/>
  <bookViews>
    <workbookView xWindow="-120" yWindow="-120" windowWidth="29040" windowHeight="15720" xr2:uid="{D34B08D5-5325-4536-8561-161C911F1865}"/>
  </bookViews>
  <sheets>
    <sheet name="Consolidado" sheetId="5" r:id="rId1"/>
    <sheet name="ciencia" sheetId="4" r:id="rId2"/>
    <sheet name="ia" sheetId="3" r:id="rId3"/>
    <sheet name="graficas" sheetId="2" r:id="rId4"/>
  </sheets>
  <definedNames>
    <definedName name="_xlnm._FilterDatabase" localSheetId="0" hidden="1">Consolidado!$A$1:$G$411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5" l="1"/>
  <c r="E411" i="5"/>
  <c r="D411" i="5"/>
  <c r="C411" i="5"/>
  <c r="G411" i="5" s="1"/>
  <c r="E410" i="5"/>
  <c r="D410" i="5"/>
  <c r="C410" i="5"/>
  <c r="E409" i="5"/>
  <c r="D409" i="5"/>
  <c r="C409" i="5"/>
  <c r="G409" i="5" s="1"/>
  <c r="E408" i="5"/>
  <c r="D408" i="5"/>
  <c r="C408" i="5"/>
  <c r="E407" i="5"/>
  <c r="D407" i="5"/>
  <c r="C407" i="5"/>
  <c r="E406" i="5"/>
  <c r="D406" i="5"/>
  <c r="C406" i="5"/>
  <c r="E405" i="5"/>
  <c r="D405" i="5"/>
  <c r="C405" i="5"/>
  <c r="E404" i="5"/>
  <c r="D404" i="5"/>
  <c r="C404" i="5"/>
  <c r="E403" i="5"/>
  <c r="D403" i="5"/>
  <c r="C403" i="5"/>
  <c r="E402" i="5"/>
  <c r="D402" i="5"/>
  <c r="C402" i="5"/>
  <c r="E401" i="5"/>
  <c r="D401" i="5"/>
  <c r="C401" i="5"/>
  <c r="F401" i="5" s="1"/>
  <c r="E400" i="5"/>
  <c r="D400" i="5"/>
  <c r="C400" i="5"/>
  <c r="E399" i="5"/>
  <c r="D399" i="5"/>
  <c r="C399" i="5"/>
  <c r="E398" i="5"/>
  <c r="D398" i="5"/>
  <c r="C398" i="5"/>
  <c r="E397" i="5"/>
  <c r="D397" i="5"/>
  <c r="C397" i="5"/>
  <c r="E396" i="5"/>
  <c r="D396" i="5"/>
  <c r="C396" i="5"/>
  <c r="F396" i="5" s="1"/>
  <c r="E395" i="5"/>
  <c r="D395" i="5"/>
  <c r="C395" i="5"/>
  <c r="E394" i="5"/>
  <c r="D394" i="5"/>
  <c r="C394" i="5"/>
  <c r="E393" i="5"/>
  <c r="D393" i="5"/>
  <c r="C393" i="5"/>
  <c r="E392" i="5"/>
  <c r="D392" i="5"/>
  <c r="C392" i="5"/>
  <c r="E391" i="5"/>
  <c r="D391" i="5"/>
  <c r="C391" i="5"/>
  <c r="G391" i="5" s="1"/>
  <c r="E390" i="5"/>
  <c r="D390" i="5"/>
  <c r="C390" i="5"/>
  <c r="E389" i="5"/>
  <c r="D389" i="5"/>
  <c r="C389" i="5"/>
  <c r="E388" i="5"/>
  <c r="D388" i="5"/>
  <c r="C388" i="5"/>
  <c r="E387" i="5"/>
  <c r="D387" i="5"/>
  <c r="C387" i="5"/>
  <c r="G387" i="5" s="1"/>
  <c r="E386" i="5"/>
  <c r="D386" i="5"/>
  <c r="C386" i="5"/>
  <c r="E385" i="5"/>
  <c r="D385" i="5"/>
  <c r="C385" i="5"/>
  <c r="E384" i="5"/>
  <c r="D384" i="5"/>
  <c r="C384" i="5"/>
  <c r="E383" i="5"/>
  <c r="D383" i="5"/>
  <c r="C383" i="5"/>
  <c r="E382" i="5"/>
  <c r="D382" i="5"/>
  <c r="C382" i="5"/>
  <c r="E381" i="5"/>
  <c r="D381" i="5"/>
  <c r="C381" i="5"/>
  <c r="E380" i="5"/>
  <c r="D380" i="5"/>
  <c r="C380" i="5"/>
  <c r="E379" i="5"/>
  <c r="D379" i="5"/>
  <c r="C379" i="5"/>
  <c r="E378" i="5"/>
  <c r="D378" i="5"/>
  <c r="C378" i="5"/>
  <c r="E377" i="5"/>
  <c r="D377" i="5"/>
  <c r="C377" i="5"/>
  <c r="E376" i="5"/>
  <c r="D376" i="5"/>
  <c r="C376" i="5"/>
  <c r="E375" i="5"/>
  <c r="D375" i="5"/>
  <c r="C375" i="5"/>
  <c r="E374" i="5"/>
  <c r="D374" i="5"/>
  <c r="C374" i="5"/>
  <c r="E373" i="5"/>
  <c r="D373" i="5"/>
  <c r="C373" i="5"/>
  <c r="E372" i="5"/>
  <c r="D372" i="5"/>
  <c r="C372" i="5"/>
  <c r="E371" i="5"/>
  <c r="D371" i="5"/>
  <c r="C371" i="5"/>
  <c r="F371" i="5" s="1"/>
  <c r="E370" i="5"/>
  <c r="D370" i="5"/>
  <c r="C370" i="5"/>
  <c r="E369" i="5"/>
  <c r="D369" i="5"/>
  <c r="C369" i="5"/>
  <c r="E368" i="5"/>
  <c r="D368" i="5"/>
  <c r="C368" i="5"/>
  <c r="E367" i="5"/>
  <c r="D367" i="5"/>
  <c r="C367" i="5"/>
  <c r="E366" i="5"/>
  <c r="D366" i="5"/>
  <c r="C366" i="5"/>
  <c r="E365" i="5"/>
  <c r="D365" i="5"/>
  <c r="C365" i="5"/>
  <c r="E364" i="5"/>
  <c r="D364" i="5"/>
  <c r="C364" i="5"/>
  <c r="E363" i="5"/>
  <c r="D363" i="5"/>
  <c r="C363" i="5"/>
  <c r="E362" i="5"/>
  <c r="D362" i="5"/>
  <c r="C362" i="5"/>
  <c r="E361" i="5"/>
  <c r="D361" i="5"/>
  <c r="C361" i="5"/>
  <c r="E360" i="5"/>
  <c r="D360" i="5"/>
  <c r="C360" i="5"/>
  <c r="E359" i="5"/>
  <c r="D359" i="5"/>
  <c r="C359" i="5"/>
  <c r="E358" i="5"/>
  <c r="D358" i="5"/>
  <c r="C358" i="5"/>
  <c r="E357" i="5"/>
  <c r="D357" i="5"/>
  <c r="C357" i="5"/>
  <c r="E356" i="5"/>
  <c r="D356" i="5"/>
  <c r="C356" i="5"/>
  <c r="G356" i="5" s="1"/>
  <c r="E355" i="5"/>
  <c r="D355" i="5"/>
  <c r="C355" i="5"/>
  <c r="E354" i="5"/>
  <c r="D354" i="5"/>
  <c r="C354" i="5"/>
  <c r="G354" i="5" s="1"/>
  <c r="E353" i="5"/>
  <c r="D353" i="5"/>
  <c r="C353" i="5"/>
  <c r="E352" i="5"/>
  <c r="D352" i="5"/>
  <c r="C352" i="5"/>
  <c r="E351" i="5"/>
  <c r="D351" i="5"/>
  <c r="C351" i="5"/>
  <c r="G351" i="5" s="1"/>
  <c r="E350" i="5"/>
  <c r="D350" i="5"/>
  <c r="C350" i="5"/>
  <c r="E349" i="5"/>
  <c r="D349" i="5"/>
  <c r="C349" i="5"/>
  <c r="E348" i="5"/>
  <c r="D348" i="5"/>
  <c r="C348" i="5"/>
  <c r="E347" i="5"/>
  <c r="D347" i="5"/>
  <c r="C347" i="5"/>
  <c r="G347" i="5" s="1"/>
  <c r="E346" i="5"/>
  <c r="D346" i="5"/>
  <c r="C346" i="5"/>
  <c r="E345" i="5"/>
  <c r="D345" i="5"/>
  <c r="C345" i="5"/>
  <c r="E344" i="5"/>
  <c r="D344" i="5"/>
  <c r="C344" i="5"/>
  <c r="E343" i="5"/>
  <c r="D343" i="5"/>
  <c r="C343" i="5"/>
  <c r="E342" i="5"/>
  <c r="D342" i="5"/>
  <c r="C342" i="5"/>
  <c r="E341" i="5"/>
  <c r="D341" i="5"/>
  <c r="C341" i="5"/>
  <c r="E340" i="5"/>
  <c r="D340" i="5"/>
  <c r="C340" i="5"/>
  <c r="E339" i="5"/>
  <c r="D339" i="5"/>
  <c r="C339" i="5"/>
  <c r="E338" i="5"/>
  <c r="D338" i="5"/>
  <c r="C338" i="5"/>
  <c r="E337" i="5"/>
  <c r="D337" i="5"/>
  <c r="C337" i="5"/>
  <c r="E336" i="5"/>
  <c r="D336" i="5"/>
  <c r="C336" i="5"/>
  <c r="E335" i="5"/>
  <c r="D335" i="5"/>
  <c r="C335" i="5"/>
  <c r="E334" i="5"/>
  <c r="D334" i="5"/>
  <c r="C334" i="5"/>
  <c r="E333" i="5"/>
  <c r="D333" i="5"/>
  <c r="C333" i="5"/>
  <c r="E332" i="5"/>
  <c r="D332" i="5"/>
  <c r="C332" i="5"/>
  <c r="E331" i="5"/>
  <c r="D331" i="5"/>
  <c r="C331" i="5"/>
  <c r="F331" i="5" s="1"/>
  <c r="E330" i="5"/>
  <c r="D330" i="5"/>
  <c r="C330" i="5"/>
  <c r="E329" i="5"/>
  <c r="D329" i="5"/>
  <c r="C329" i="5"/>
  <c r="E328" i="5"/>
  <c r="D328" i="5"/>
  <c r="C328" i="5"/>
  <c r="E327" i="5"/>
  <c r="D327" i="5"/>
  <c r="C327" i="5"/>
  <c r="E326" i="5"/>
  <c r="D326" i="5"/>
  <c r="C326" i="5"/>
  <c r="G326" i="5" s="1"/>
  <c r="F325" i="5"/>
  <c r="E325" i="5"/>
  <c r="D325" i="5"/>
  <c r="C325" i="5"/>
  <c r="E324" i="5"/>
  <c r="D324" i="5"/>
  <c r="C324" i="5"/>
  <c r="E323" i="5"/>
  <c r="D323" i="5"/>
  <c r="C323" i="5"/>
  <c r="G323" i="5" s="1"/>
  <c r="E322" i="5"/>
  <c r="D322" i="5"/>
  <c r="C322" i="5"/>
  <c r="E321" i="5"/>
  <c r="D321" i="5"/>
  <c r="C321" i="5"/>
  <c r="G321" i="5" s="1"/>
  <c r="E320" i="5"/>
  <c r="D320" i="5"/>
  <c r="C320" i="5"/>
  <c r="E319" i="5"/>
  <c r="D319" i="5"/>
  <c r="C319" i="5"/>
  <c r="E318" i="5"/>
  <c r="D318" i="5"/>
  <c r="C318" i="5"/>
  <c r="E317" i="5"/>
  <c r="D317" i="5"/>
  <c r="C317" i="5"/>
  <c r="E316" i="5"/>
  <c r="D316" i="5"/>
  <c r="C316" i="5"/>
  <c r="F316" i="5" s="1"/>
  <c r="E315" i="5"/>
  <c r="D315" i="5"/>
  <c r="C315" i="5"/>
  <c r="E314" i="5"/>
  <c r="D314" i="5"/>
  <c r="C314" i="5"/>
  <c r="G314" i="5" s="1"/>
  <c r="E313" i="5"/>
  <c r="D313" i="5"/>
  <c r="C313" i="5"/>
  <c r="E312" i="5"/>
  <c r="D312" i="5"/>
  <c r="C312" i="5"/>
  <c r="E311" i="5"/>
  <c r="D311" i="5"/>
  <c r="C311" i="5"/>
  <c r="E310" i="5"/>
  <c r="D310" i="5"/>
  <c r="C310" i="5"/>
  <c r="E309" i="5"/>
  <c r="D309" i="5"/>
  <c r="C309" i="5"/>
  <c r="E308" i="5"/>
  <c r="D308" i="5"/>
  <c r="C308" i="5"/>
  <c r="G308" i="5" s="1"/>
  <c r="E307" i="5"/>
  <c r="D307" i="5"/>
  <c r="C307" i="5"/>
  <c r="E306" i="5"/>
  <c r="D306" i="5"/>
  <c r="C306" i="5"/>
  <c r="E305" i="5"/>
  <c r="D305" i="5"/>
  <c r="C305" i="5"/>
  <c r="E304" i="5"/>
  <c r="D304" i="5"/>
  <c r="C304" i="5"/>
  <c r="E303" i="5"/>
  <c r="D303" i="5"/>
  <c r="C303" i="5"/>
  <c r="E302" i="5"/>
  <c r="D302" i="5"/>
  <c r="C302" i="5"/>
  <c r="E301" i="5"/>
  <c r="D301" i="5"/>
  <c r="C301" i="5"/>
  <c r="E300" i="5"/>
  <c r="D300" i="5"/>
  <c r="C300" i="5"/>
  <c r="G300" i="5" s="1"/>
  <c r="E299" i="5"/>
  <c r="D299" i="5"/>
  <c r="C299" i="5"/>
  <c r="E298" i="5"/>
  <c r="D298" i="5"/>
  <c r="C298" i="5"/>
  <c r="E297" i="5"/>
  <c r="D297" i="5"/>
  <c r="C297" i="5"/>
  <c r="G297" i="5" s="1"/>
  <c r="E296" i="5"/>
  <c r="D296" i="5"/>
  <c r="C296" i="5"/>
  <c r="E295" i="5"/>
  <c r="D295" i="5"/>
  <c r="C295" i="5"/>
  <c r="E294" i="5"/>
  <c r="D294" i="5"/>
  <c r="C294" i="5"/>
  <c r="E293" i="5"/>
  <c r="D293" i="5"/>
  <c r="C293" i="5"/>
  <c r="E292" i="5"/>
  <c r="D292" i="5"/>
  <c r="C292" i="5"/>
  <c r="E291" i="5"/>
  <c r="D291" i="5"/>
  <c r="C291" i="5"/>
  <c r="E290" i="5"/>
  <c r="D290" i="5"/>
  <c r="C290" i="5"/>
  <c r="E289" i="5"/>
  <c r="D289" i="5"/>
  <c r="C289" i="5"/>
  <c r="E288" i="5"/>
  <c r="D288" i="5"/>
  <c r="C288" i="5"/>
  <c r="G288" i="5" s="1"/>
  <c r="E287" i="5"/>
  <c r="D287" i="5"/>
  <c r="C287" i="5"/>
  <c r="E286" i="5"/>
  <c r="D286" i="5"/>
  <c r="C286" i="5"/>
  <c r="E285" i="5"/>
  <c r="D285" i="5"/>
  <c r="C285" i="5"/>
  <c r="E284" i="5"/>
  <c r="D284" i="5"/>
  <c r="C284" i="5"/>
  <c r="E283" i="5"/>
  <c r="D283" i="5"/>
  <c r="C283" i="5"/>
  <c r="E282" i="5"/>
  <c r="D282" i="5"/>
  <c r="C282" i="5"/>
  <c r="E281" i="5"/>
  <c r="D281" i="5"/>
  <c r="C281" i="5"/>
  <c r="E280" i="5"/>
  <c r="D280" i="5"/>
  <c r="C280" i="5"/>
  <c r="E279" i="5"/>
  <c r="D279" i="5"/>
  <c r="C279" i="5"/>
  <c r="E278" i="5"/>
  <c r="D278" i="5"/>
  <c r="C278" i="5"/>
  <c r="E277" i="5"/>
  <c r="D277" i="5"/>
  <c r="C277" i="5"/>
  <c r="G277" i="5" s="1"/>
  <c r="E276" i="5"/>
  <c r="D276" i="5"/>
  <c r="C276" i="5"/>
  <c r="E275" i="5"/>
  <c r="D275" i="5"/>
  <c r="C275" i="5"/>
  <c r="E274" i="5"/>
  <c r="D274" i="5"/>
  <c r="C274" i="5"/>
  <c r="E273" i="5"/>
  <c r="D273" i="5"/>
  <c r="C273" i="5"/>
  <c r="E272" i="5"/>
  <c r="D272" i="5"/>
  <c r="C272" i="5"/>
  <c r="E271" i="5"/>
  <c r="D271" i="5"/>
  <c r="C271" i="5"/>
  <c r="E270" i="5"/>
  <c r="D270" i="5"/>
  <c r="C270" i="5"/>
  <c r="E269" i="5"/>
  <c r="D269" i="5"/>
  <c r="C269" i="5"/>
  <c r="E268" i="5"/>
  <c r="D268" i="5"/>
  <c r="C268" i="5"/>
  <c r="E267" i="5"/>
  <c r="D267" i="5"/>
  <c r="C267" i="5"/>
  <c r="E266" i="5"/>
  <c r="D266" i="5"/>
  <c r="C266" i="5"/>
  <c r="E265" i="5"/>
  <c r="D265" i="5"/>
  <c r="C265" i="5"/>
  <c r="E264" i="5"/>
  <c r="D264" i="5"/>
  <c r="C264" i="5"/>
  <c r="E263" i="5"/>
  <c r="D263" i="5"/>
  <c r="C263" i="5"/>
  <c r="E262" i="5"/>
  <c r="D262" i="5"/>
  <c r="C262" i="5"/>
  <c r="E261" i="5"/>
  <c r="D261" i="5"/>
  <c r="C261" i="5"/>
  <c r="E260" i="5"/>
  <c r="D260" i="5"/>
  <c r="C260" i="5"/>
  <c r="E259" i="5"/>
  <c r="D259" i="5"/>
  <c r="C259" i="5"/>
  <c r="E258" i="5"/>
  <c r="D258" i="5"/>
  <c r="C258" i="5"/>
  <c r="E257" i="5"/>
  <c r="D257" i="5"/>
  <c r="C257" i="5"/>
  <c r="G257" i="5" s="1"/>
  <c r="E256" i="5"/>
  <c r="D256" i="5"/>
  <c r="C256" i="5"/>
  <c r="E255" i="5"/>
  <c r="D255" i="5"/>
  <c r="C255" i="5"/>
  <c r="E254" i="5"/>
  <c r="D254" i="5"/>
  <c r="C254" i="5"/>
  <c r="E253" i="5"/>
  <c r="D253" i="5"/>
  <c r="C253" i="5"/>
  <c r="E252" i="5"/>
  <c r="D252" i="5"/>
  <c r="C252" i="5"/>
  <c r="E251" i="5"/>
  <c r="D251" i="5"/>
  <c r="C251" i="5"/>
  <c r="E250" i="5"/>
  <c r="D250" i="5"/>
  <c r="C250" i="5"/>
  <c r="E249" i="5"/>
  <c r="D249" i="5"/>
  <c r="C249" i="5"/>
  <c r="E248" i="5"/>
  <c r="D248" i="5"/>
  <c r="C248" i="5"/>
  <c r="E247" i="5"/>
  <c r="D247" i="5"/>
  <c r="C247" i="5"/>
  <c r="E246" i="5"/>
  <c r="D246" i="5"/>
  <c r="C246" i="5"/>
  <c r="E245" i="5"/>
  <c r="D245" i="5"/>
  <c r="C245" i="5"/>
  <c r="E244" i="5"/>
  <c r="D244" i="5"/>
  <c r="C244" i="5"/>
  <c r="E243" i="5"/>
  <c r="D243" i="5"/>
  <c r="C243" i="5"/>
  <c r="G243" i="5" s="1"/>
  <c r="E242" i="5"/>
  <c r="D242" i="5"/>
  <c r="C242" i="5"/>
  <c r="E241" i="5"/>
  <c r="D241" i="5"/>
  <c r="C241" i="5"/>
  <c r="E240" i="5"/>
  <c r="D240" i="5"/>
  <c r="C240" i="5"/>
  <c r="E239" i="5"/>
  <c r="D239" i="5"/>
  <c r="C239" i="5"/>
  <c r="E238" i="5"/>
  <c r="D238" i="5"/>
  <c r="C238" i="5"/>
  <c r="E237" i="5"/>
  <c r="D237" i="5"/>
  <c r="C237" i="5"/>
  <c r="E236" i="5"/>
  <c r="D236" i="5"/>
  <c r="C236" i="5"/>
  <c r="F236" i="5" s="1"/>
  <c r="E235" i="5"/>
  <c r="D235" i="5"/>
  <c r="C235" i="5"/>
  <c r="E234" i="5"/>
  <c r="D234" i="5"/>
  <c r="C234" i="5"/>
  <c r="G234" i="5" s="1"/>
  <c r="E233" i="5"/>
  <c r="D233" i="5"/>
  <c r="C233" i="5"/>
  <c r="G233" i="5" s="1"/>
  <c r="E232" i="5"/>
  <c r="D232" i="5"/>
  <c r="C232" i="5"/>
  <c r="E231" i="5"/>
  <c r="D231" i="5"/>
  <c r="C231" i="5"/>
  <c r="E230" i="5"/>
  <c r="D230" i="5"/>
  <c r="C230" i="5"/>
  <c r="E229" i="5"/>
  <c r="D229" i="5"/>
  <c r="C229" i="5"/>
  <c r="E228" i="5"/>
  <c r="D228" i="5"/>
  <c r="C228" i="5"/>
  <c r="G228" i="5" s="1"/>
  <c r="E227" i="5"/>
  <c r="D227" i="5"/>
  <c r="C227" i="5"/>
  <c r="E226" i="5"/>
  <c r="D226" i="5"/>
  <c r="C226" i="5"/>
  <c r="E225" i="5"/>
  <c r="D225" i="5"/>
  <c r="C225" i="5"/>
  <c r="E224" i="5"/>
  <c r="D224" i="5"/>
  <c r="C224" i="5"/>
  <c r="E223" i="5"/>
  <c r="D223" i="5"/>
  <c r="C223" i="5"/>
  <c r="E222" i="5"/>
  <c r="D222" i="5"/>
  <c r="C222" i="5"/>
  <c r="E221" i="5"/>
  <c r="D221" i="5"/>
  <c r="C221" i="5"/>
  <c r="E220" i="5"/>
  <c r="D220" i="5"/>
  <c r="C220" i="5"/>
  <c r="E219" i="5"/>
  <c r="D219" i="5"/>
  <c r="C219" i="5"/>
  <c r="E218" i="5"/>
  <c r="D218" i="5"/>
  <c r="C218" i="5"/>
  <c r="E217" i="5"/>
  <c r="D217" i="5"/>
  <c r="C217" i="5"/>
  <c r="G217" i="5" s="1"/>
  <c r="E216" i="5"/>
  <c r="D216" i="5"/>
  <c r="C216" i="5"/>
  <c r="E215" i="5"/>
  <c r="D215" i="5"/>
  <c r="C215" i="5"/>
  <c r="E214" i="5"/>
  <c r="D214" i="5"/>
  <c r="C214" i="5"/>
  <c r="E213" i="5"/>
  <c r="D213" i="5"/>
  <c r="C213" i="5"/>
  <c r="E212" i="5"/>
  <c r="D212" i="5"/>
  <c r="C212" i="5"/>
  <c r="E211" i="5"/>
  <c r="D211" i="5"/>
  <c r="C211" i="5"/>
  <c r="E210" i="5"/>
  <c r="D210" i="5"/>
  <c r="C210" i="5"/>
  <c r="E209" i="5"/>
  <c r="D209" i="5"/>
  <c r="C209" i="5"/>
  <c r="E208" i="5"/>
  <c r="D208" i="5"/>
  <c r="C208" i="5"/>
  <c r="G208" i="5" s="1"/>
  <c r="E207" i="5"/>
  <c r="D207" i="5"/>
  <c r="C207" i="5"/>
  <c r="E206" i="5"/>
  <c r="D206" i="5"/>
  <c r="C206" i="5"/>
  <c r="E205" i="5"/>
  <c r="D205" i="5"/>
  <c r="C205" i="5"/>
  <c r="E204" i="5"/>
  <c r="D204" i="5"/>
  <c r="C204" i="5"/>
  <c r="E203" i="5"/>
  <c r="D203" i="5"/>
  <c r="C203" i="5"/>
  <c r="G203" i="5" s="1"/>
  <c r="E202" i="5"/>
  <c r="D202" i="5"/>
  <c r="C202" i="5"/>
  <c r="E201" i="5"/>
  <c r="D201" i="5"/>
  <c r="C201" i="5"/>
  <c r="E200" i="5"/>
  <c r="D200" i="5"/>
  <c r="C200" i="5"/>
  <c r="E199" i="5"/>
  <c r="D199" i="5"/>
  <c r="C199" i="5"/>
  <c r="E198" i="5"/>
  <c r="D198" i="5"/>
  <c r="C198" i="5"/>
  <c r="E197" i="5"/>
  <c r="D197" i="5"/>
  <c r="C197" i="5"/>
  <c r="G197" i="5" s="1"/>
  <c r="E196" i="5"/>
  <c r="D196" i="5"/>
  <c r="C196" i="5"/>
  <c r="E195" i="5"/>
  <c r="D195" i="5"/>
  <c r="C195" i="5"/>
  <c r="E194" i="5"/>
  <c r="D194" i="5"/>
  <c r="C194" i="5"/>
  <c r="E193" i="5"/>
  <c r="D193" i="5"/>
  <c r="C193" i="5"/>
  <c r="G193" i="5" s="1"/>
  <c r="E192" i="5"/>
  <c r="D192" i="5"/>
  <c r="C192" i="5"/>
  <c r="E191" i="5"/>
  <c r="D191" i="5"/>
  <c r="C191" i="5"/>
  <c r="E190" i="5"/>
  <c r="D190" i="5"/>
  <c r="C190" i="5"/>
  <c r="E189" i="5"/>
  <c r="D189" i="5"/>
  <c r="C189" i="5"/>
  <c r="E188" i="5"/>
  <c r="D188" i="5"/>
  <c r="C188" i="5"/>
  <c r="E187" i="5"/>
  <c r="D187" i="5"/>
  <c r="C187" i="5"/>
  <c r="E186" i="5"/>
  <c r="D186" i="5"/>
  <c r="C186" i="5"/>
  <c r="E185" i="5"/>
  <c r="D185" i="5"/>
  <c r="C185" i="5"/>
  <c r="E184" i="5"/>
  <c r="D184" i="5"/>
  <c r="C184" i="5"/>
  <c r="E183" i="5"/>
  <c r="D183" i="5"/>
  <c r="C183" i="5"/>
  <c r="E182" i="5"/>
  <c r="D182" i="5"/>
  <c r="C182" i="5"/>
  <c r="E181" i="5"/>
  <c r="D181" i="5"/>
  <c r="C181" i="5"/>
  <c r="E180" i="5"/>
  <c r="D180" i="5"/>
  <c r="C180" i="5"/>
  <c r="E179" i="5"/>
  <c r="D179" i="5"/>
  <c r="C179" i="5"/>
  <c r="E178" i="5"/>
  <c r="D178" i="5"/>
  <c r="C178" i="5"/>
  <c r="E177" i="5"/>
  <c r="D177" i="5"/>
  <c r="C177" i="5"/>
  <c r="E176" i="5"/>
  <c r="D176" i="5"/>
  <c r="C176" i="5"/>
  <c r="E175" i="5"/>
  <c r="D175" i="5"/>
  <c r="C175" i="5"/>
  <c r="E174" i="5"/>
  <c r="D174" i="5"/>
  <c r="C174" i="5"/>
  <c r="E173" i="5"/>
  <c r="D173" i="5"/>
  <c r="C173" i="5"/>
  <c r="G173" i="5" s="1"/>
  <c r="E172" i="5"/>
  <c r="D172" i="5"/>
  <c r="C172" i="5"/>
  <c r="E171" i="5"/>
  <c r="D171" i="5"/>
  <c r="C171" i="5"/>
  <c r="E170" i="5"/>
  <c r="D170" i="5"/>
  <c r="C170" i="5"/>
  <c r="E169" i="5"/>
  <c r="D169" i="5"/>
  <c r="C169" i="5"/>
  <c r="E168" i="5"/>
  <c r="D168" i="5"/>
  <c r="C168" i="5"/>
  <c r="E167" i="5"/>
  <c r="D167" i="5"/>
  <c r="C167" i="5"/>
  <c r="E166" i="5"/>
  <c r="D166" i="5"/>
  <c r="C166" i="5"/>
  <c r="E165" i="5"/>
  <c r="D165" i="5"/>
  <c r="C165" i="5"/>
  <c r="E164" i="5"/>
  <c r="D164" i="5"/>
  <c r="C164" i="5"/>
  <c r="G164" i="5" s="1"/>
  <c r="E163" i="5"/>
  <c r="D163" i="5"/>
  <c r="C163" i="5"/>
  <c r="E162" i="5"/>
  <c r="D162" i="5"/>
  <c r="C162" i="5"/>
  <c r="E161" i="5"/>
  <c r="D161" i="5"/>
  <c r="C161" i="5"/>
  <c r="F161" i="5" s="1"/>
  <c r="E160" i="5"/>
  <c r="D160" i="5"/>
  <c r="C160" i="5"/>
  <c r="G160" i="5" s="1"/>
  <c r="E159" i="5"/>
  <c r="D159" i="5"/>
  <c r="C159" i="5"/>
  <c r="E158" i="5"/>
  <c r="D158" i="5"/>
  <c r="C158" i="5"/>
  <c r="E157" i="5"/>
  <c r="D157" i="5"/>
  <c r="C157" i="5"/>
  <c r="E156" i="5"/>
  <c r="D156" i="5"/>
  <c r="C156" i="5"/>
  <c r="E155" i="5"/>
  <c r="D155" i="5"/>
  <c r="C155" i="5"/>
  <c r="E154" i="5"/>
  <c r="D154" i="5"/>
  <c r="C154" i="5"/>
  <c r="E153" i="5"/>
  <c r="D153" i="5"/>
  <c r="C153" i="5"/>
  <c r="E152" i="5"/>
  <c r="D152" i="5"/>
  <c r="C152" i="5"/>
  <c r="E151" i="5"/>
  <c r="D151" i="5"/>
  <c r="C151" i="5"/>
  <c r="E150" i="5"/>
  <c r="D150" i="5"/>
  <c r="C150" i="5"/>
  <c r="E149" i="5"/>
  <c r="D149" i="5"/>
  <c r="C149" i="5"/>
  <c r="E148" i="5"/>
  <c r="D148" i="5"/>
  <c r="C148" i="5"/>
  <c r="E147" i="5"/>
  <c r="D147" i="5"/>
  <c r="C147" i="5"/>
  <c r="E146" i="5"/>
  <c r="D146" i="5"/>
  <c r="C146" i="5"/>
  <c r="E145" i="5"/>
  <c r="D145" i="5"/>
  <c r="C145" i="5"/>
  <c r="E144" i="5"/>
  <c r="D144" i="5"/>
  <c r="C144" i="5"/>
  <c r="G144" i="5" s="1"/>
  <c r="E143" i="5"/>
  <c r="D143" i="5"/>
  <c r="C143" i="5"/>
  <c r="E142" i="5"/>
  <c r="D142" i="5"/>
  <c r="C142" i="5"/>
  <c r="E141" i="5"/>
  <c r="D141" i="5"/>
  <c r="C141" i="5"/>
  <c r="G141" i="5" s="1"/>
  <c r="E140" i="5"/>
  <c r="D140" i="5"/>
  <c r="C140" i="5"/>
  <c r="F140" i="5" s="1"/>
  <c r="E139" i="5"/>
  <c r="D139" i="5"/>
  <c r="C139" i="5"/>
  <c r="E138" i="5"/>
  <c r="D138" i="5"/>
  <c r="C138" i="5"/>
  <c r="E137" i="5"/>
  <c r="D137" i="5"/>
  <c r="C137" i="5"/>
  <c r="F137" i="5" s="1"/>
  <c r="E136" i="5"/>
  <c r="D136" i="5"/>
  <c r="C136" i="5"/>
  <c r="E135" i="5"/>
  <c r="D135" i="5"/>
  <c r="C135" i="5"/>
  <c r="E134" i="5"/>
  <c r="D134" i="5"/>
  <c r="C134" i="5"/>
  <c r="E133" i="5"/>
  <c r="D133" i="5"/>
  <c r="C133" i="5"/>
  <c r="E132" i="5"/>
  <c r="D132" i="5"/>
  <c r="C132" i="5"/>
  <c r="E131" i="5"/>
  <c r="D131" i="5"/>
  <c r="C131" i="5"/>
  <c r="G131" i="5" s="1"/>
  <c r="E130" i="5"/>
  <c r="D130" i="5"/>
  <c r="C130" i="5"/>
  <c r="E129" i="5"/>
  <c r="D129" i="5"/>
  <c r="C129" i="5"/>
  <c r="E128" i="5"/>
  <c r="D128" i="5"/>
  <c r="C128" i="5"/>
  <c r="E127" i="5"/>
  <c r="D127" i="5"/>
  <c r="C127" i="5"/>
  <c r="E126" i="5"/>
  <c r="D126" i="5"/>
  <c r="C126" i="5"/>
  <c r="E125" i="5"/>
  <c r="D125" i="5"/>
  <c r="C125" i="5"/>
  <c r="E124" i="5"/>
  <c r="D124" i="5"/>
  <c r="C124" i="5"/>
  <c r="G124" i="5" s="1"/>
  <c r="E123" i="5"/>
  <c r="D123" i="5"/>
  <c r="C123" i="5"/>
  <c r="E122" i="5"/>
  <c r="D122" i="5"/>
  <c r="C122" i="5"/>
  <c r="E121" i="5"/>
  <c r="D121" i="5"/>
  <c r="C121" i="5"/>
  <c r="E120" i="5"/>
  <c r="D120" i="5"/>
  <c r="C120" i="5"/>
  <c r="E119" i="5"/>
  <c r="D119" i="5"/>
  <c r="C119" i="5"/>
  <c r="E118" i="5"/>
  <c r="D118" i="5"/>
  <c r="C118" i="5"/>
  <c r="G118" i="5" s="1"/>
  <c r="E117" i="5"/>
  <c r="D117" i="5"/>
  <c r="C117" i="5"/>
  <c r="E116" i="5"/>
  <c r="D116" i="5"/>
  <c r="C116" i="5"/>
  <c r="E115" i="5"/>
  <c r="D115" i="5"/>
  <c r="C115" i="5"/>
  <c r="E114" i="5"/>
  <c r="D114" i="5"/>
  <c r="C114" i="5"/>
  <c r="E113" i="5"/>
  <c r="D113" i="5"/>
  <c r="C113" i="5"/>
  <c r="G113" i="5" s="1"/>
  <c r="E112" i="5"/>
  <c r="D112" i="5"/>
  <c r="C112" i="5"/>
  <c r="E111" i="5"/>
  <c r="D111" i="5"/>
  <c r="C111" i="5"/>
  <c r="E110" i="5"/>
  <c r="D110" i="5"/>
  <c r="C110" i="5"/>
  <c r="E109" i="5"/>
  <c r="D109" i="5"/>
  <c r="C109" i="5"/>
  <c r="E108" i="5"/>
  <c r="D108" i="5"/>
  <c r="C108" i="5"/>
  <c r="E107" i="5"/>
  <c r="D107" i="5"/>
  <c r="C107" i="5"/>
  <c r="E106" i="5"/>
  <c r="D106" i="5"/>
  <c r="C106" i="5"/>
  <c r="E105" i="5"/>
  <c r="D105" i="5"/>
  <c r="C105" i="5"/>
  <c r="E104" i="5"/>
  <c r="D104" i="5"/>
  <c r="C104" i="5"/>
  <c r="E103" i="5"/>
  <c r="D103" i="5"/>
  <c r="C103" i="5"/>
  <c r="E102" i="5"/>
  <c r="D102" i="5"/>
  <c r="C102" i="5"/>
  <c r="E101" i="5"/>
  <c r="D101" i="5"/>
  <c r="C101" i="5"/>
  <c r="E100" i="5"/>
  <c r="D100" i="5"/>
  <c r="C100" i="5"/>
  <c r="E99" i="5"/>
  <c r="D99" i="5"/>
  <c r="C99" i="5"/>
  <c r="E98" i="5"/>
  <c r="D98" i="5"/>
  <c r="C98" i="5"/>
  <c r="E97" i="5"/>
  <c r="D97" i="5"/>
  <c r="C97" i="5"/>
  <c r="E96" i="5"/>
  <c r="D96" i="5"/>
  <c r="C96" i="5"/>
  <c r="E95" i="5"/>
  <c r="D95" i="5"/>
  <c r="C95" i="5"/>
  <c r="E94" i="5"/>
  <c r="D94" i="5"/>
  <c r="C94" i="5"/>
  <c r="F94" i="5" s="1"/>
  <c r="E93" i="5"/>
  <c r="D93" i="5"/>
  <c r="C93" i="5"/>
  <c r="E92" i="5"/>
  <c r="D92" i="5"/>
  <c r="C92" i="5"/>
  <c r="E91" i="5"/>
  <c r="D91" i="5"/>
  <c r="C91" i="5"/>
  <c r="E90" i="5"/>
  <c r="D90" i="5"/>
  <c r="C90" i="5"/>
  <c r="E89" i="5"/>
  <c r="D89" i="5"/>
  <c r="C89" i="5"/>
  <c r="E88" i="5"/>
  <c r="D88" i="5"/>
  <c r="C88" i="5"/>
  <c r="E87" i="5"/>
  <c r="D87" i="5"/>
  <c r="C87" i="5"/>
  <c r="E86" i="5"/>
  <c r="D86" i="5"/>
  <c r="C86" i="5"/>
  <c r="E85" i="5"/>
  <c r="D85" i="5"/>
  <c r="C85" i="5"/>
  <c r="E84" i="5"/>
  <c r="D84" i="5"/>
  <c r="C84" i="5"/>
  <c r="E83" i="5"/>
  <c r="D83" i="5"/>
  <c r="C83" i="5"/>
  <c r="E82" i="5"/>
  <c r="D82" i="5"/>
  <c r="C82" i="5"/>
  <c r="E81" i="5"/>
  <c r="D81" i="5"/>
  <c r="C81" i="5"/>
  <c r="E80" i="5"/>
  <c r="D80" i="5"/>
  <c r="C80" i="5"/>
  <c r="E79" i="5"/>
  <c r="D79" i="5"/>
  <c r="C79" i="5"/>
  <c r="E78" i="5"/>
  <c r="D78" i="5"/>
  <c r="C78" i="5"/>
  <c r="E77" i="5"/>
  <c r="D77" i="5"/>
  <c r="C77" i="5"/>
  <c r="E76" i="5"/>
  <c r="D76" i="5"/>
  <c r="C76" i="5"/>
  <c r="E75" i="5"/>
  <c r="D75" i="5"/>
  <c r="C75" i="5"/>
  <c r="E74" i="5"/>
  <c r="D74" i="5"/>
  <c r="C74" i="5"/>
  <c r="G74" i="5" s="1"/>
  <c r="E73" i="5"/>
  <c r="D73" i="5"/>
  <c r="C73" i="5"/>
  <c r="E72" i="5"/>
  <c r="D72" i="5"/>
  <c r="C72" i="5"/>
  <c r="E71" i="5"/>
  <c r="D71" i="5"/>
  <c r="C71" i="5"/>
  <c r="G71" i="5" s="1"/>
  <c r="E70" i="5"/>
  <c r="D70" i="5"/>
  <c r="C70" i="5"/>
  <c r="E69" i="5"/>
  <c r="D69" i="5"/>
  <c r="C69" i="5"/>
  <c r="E68" i="5"/>
  <c r="D68" i="5"/>
  <c r="C68" i="5"/>
  <c r="E67" i="5"/>
  <c r="D67" i="5"/>
  <c r="C67" i="5"/>
  <c r="E66" i="5"/>
  <c r="D66" i="5"/>
  <c r="C66" i="5"/>
  <c r="E65" i="5"/>
  <c r="D65" i="5"/>
  <c r="C65" i="5"/>
  <c r="E64" i="5"/>
  <c r="D64" i="5"/>
  <c r="C64" i="5"/>
  <c r="G64" i="5" s="1"/>
  <c r="E63" i="5"/>
  <c r="D63" i="5"/>
  <c r="C63" i="5"/>
  <c r="E62" i="5"/>
  <c r="D62" i="5"/>
  <c r="C62" i="5"/>
  <c r="E61" i="5"/>
  <c r="D61" i="5"/>
  <c r="C61" i="5"/>
  <c r="E60" i="5"/>
  <c r="D60" i="5"/>
  <c r="C60" i="5"/>
  <c r="E59" i="5"/>
  <c r="D59" i="5"/>
  <c r="C59" i="5"/>
  <c r="E58" i="5"/>
  <c r="D58" i="5"/>
  <c r="C58" i="5"/>
  <c r="E57" i="5"/>
  <c r="D57" i="5"/>
  <c r="C57" i="5"/>
  <c r="E56" i="5"/>
  <c r="D56" i="5"/>
  <c r="C56" i="5"/>
  <c r="E55" i="5"/>
  <c r="D55" i="5"/>
  <c r="C55" i="5"/>
  <c r="E54" i="5"/>
  <c r="D54" i="5"/>
  <c r="C54" i="5"/>
  <c r="F54" i="5" s="1"/>
  <c r="E53" i="5"/>
  <c r="D53" i="5"/>
  <c r="C53" i="5"/>
  <c r="F53" i="5" s="1"/>
  <c r="E52" i="5"/>
  <c r="D52" i="5"/>
  <c r="C52" i="5"/>
  <c r="E51" i="5"/>
  <c r="D51" i="5"/>
  <c r="C51" i="5"/>
  <c r="G51" i="5" s="1"/>
  <c r="E50" i="5"/>
  <c r="D50" i="5"/>
  <c r="C50" i="5"/>
  <c r="E49" i="5"/>
  <c r="D49" i="5"/>
  <c r="C49" i="5"/>
  <c r="E48" i="5"/>
  <c r="D48" i="5"/>
  <c r="C48" i="5"/>
  <c r="E47" i="5"/>
  <c r="D47" i="5"/>
  <c r="C47" i="5"/>
  <c r="E46" i="5"/>
  <c r="D46" i="5"/>
  <c r="C46" i="5"/>
  <c r="E45" i="5"/>
  <c r="D45" i="5"/>
  <c r="C45" i="5"/>
  <c r="E44" i="5"/>
  <c r="D44" i="5"/>
  <c r="C44" i="5"/>
  <c r="E43" i="5"/>
  <c r="D43" i="5"/>
  <c r="C43" i="5"/>
  <c r="E42" i="5"/>
  <c r="D42" i="5"/>
  <c r="C42" i="5"/>
  <c r="E41" i="5"/>
  <c r="D41" i="5"/>
  <c r="C41" i="5"/>
  <c r="E40" i="5"/>
  <c r="D40" i="5"/>
  <c r="C40" i="5"/>
  <c r="G40" i="5" s="1"/>
  <c r="E39" i="5"/>
  <c r="D39" i="5"/>
  <c r="C39" i="5"/>
  <c r="E38" i="5"/>
  <c r="D38" i="5"/>
  <c r="C38" i="5"/>
  <c r="E37" i="5"/>
  <c r="D37" i="5"/>
  <c r="C37" i="5"/>
  <c r="F37" i="5" s="1"/>
  <c r="E36" i="5"/>
  <c r="D36" i="5"/>
  <c r="C36" i="5"/>
  <c r="E35" i="5"/>
  <c r="D35" i="5"/>
  <c r="C35" i="5"/>
  <c r="E34" i="5"/>
  <c r="D34" i="5"/>
  <c r="C34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G28" i="5" s="1"/>
  <c r="E27" i="5"/>
  <c r="D27" i="5"/>
  <c r="C27" i="5"/>
  <c r="E26" i="5"/>
  <c r="D26" i="5"/>
  <c r="C26" i="5"/>
  <c r="E25" i="5"/>
  <c r="D25" i="5"/>
  <c r="C25" i="5"/>
  <c r="E24" i="5"/>
  <c r="D24" i="5"/>
  <c r="C24" i="5"/>
  <c r="E23" i="5"/>
  <c r="D23" i="5"/>
  <c r="C23" i="5"/>
  <c r="E22" i="5"/>
  <c r="D22" i="5"/>
  <c r="C22" i="5"/>
  <c r="E21" i="5"/>
  <c r="D21" i="5"/>
  <c r="C21" i="5"/>
  <c r="E20" i="5"/>
  <c r="D20" i="5"/>
  <c r="C20" i="5"/>
  <c r="G20" i="5" s="1"/>
  <c r="E19" i="5"/>
  <c r="D19" i="5"/>
  <c r="C19" i="5"/>
  <c r="E18" i="5"/>
  <c r="D18" i="5"/>
  <c r="C18" i="5"/>
  <c r="E17" i="5"/>
  <c r="D17" i="5"/>
  <c r="C17" i="5"/>
  <c r="G17" i="5" s="1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G8" i="5" s="1"/>
  <c r="E7" i="5"/>
  <c r="D7" i="5"/>
  <c r="C7" i="5"/>
  <c r="G7" i="5" s="1"/>
  <c r="E6" i="5"/>
  <c r="D6" i="5"/>
  <c r="C6" i="5"/>
  <c r="E5" i="5"/>
  <c r="D5" i="5"/>
  <c r="C5" i="5"/>
  <c r="E4" i="5"/>
  <c r="D4" i="5"/>
  <c r="C4" i="5"/>
  <c r="G4" i="5" s="1"/>
  <c r="E3" i="5"/>
  <c r="D3" i="5"/>
  <c r="C3" i="5"/>
  <c r="G3" i="5" s="1"/>
  <c r="E2" i="5"/>
  <c r="D2" i="5"/>
  <c r="C2" i="5"/>
  <c r="F2" i="5" s="1"/>
  <c r="G246" i="5" l="1"/>
  <c r="G339" i="5"/>
  <c r="G359" i="5"/>
  <c r="G399" i="5"/>
  <c r="G75" i="5"/>
  <c r="F95" i="5"/>
  <c r="G328" i="5"/>
  <c r="G348" i="5"/>
  <c r="G368" i="5"/>
  <c r="G408" i="5"/>
  <c r="G38" i="5"/>
  <c r="G98" i="5"/>
  <c r="F25" i="5"/>
  <c r="F45" i="5"/>
  <c r="F65" i="5"/>
  <c r="G85" i="5"/>
  <c r="F185" i="5"/>
  <c r="G205" i="5"/>
  <c r="F265" i="5"/>
  <c r="G325" i="5"/>
  <c r="G10" i="5"/>
  <c r="G30" i="5"/>
  <c r="G130" i="5"/>
  <c r="G150" i="5"/>
  <c r="G210" i="5"/>
  <c r="G230" i="5"/>
  <c r="G290" i="5"/>
  <c r="G310" i="5"/>
  <c r="G403" i="5"/>
  <c r="G206" i="5"/>
  <c r="G244" i="5"/>
  <c r="G284" i="5"/>
  <c r="G324" i="5"/>
  <c r="G337" i="5"/>
  <c r="G357" i="5"/>
  <c r="G377" i="5"/>
  <c r="F171" i="5"/>
  <c r="F251" i="5"/>
  <c r="G271" i="5"/>
  <c r="G378" i="5"/>
  <c r="G9" i="5"/>
  <c r="G169" i="5"/>
  <c r="F202" i="5"/>
  <c r="F242" i="5"/>
  <c r="F282" i="5"/>
  <c r="G302" i="5"/>
  <c r="G56" i="5"/>
  <c r="G76" i="5"/>
  <c r="F96" i="5"/>
  <c r="F116" i="5"/>
  <c r="G129" i="5"/>
  <c r="G289" i="5"/>
  <c r="F46" i="5"/>
  <c r="F163" i="5"/>
  <c r="F176" i="5"/>
  <c r="G32" i="5"/>
  <c r="F132" i="5"/>
  <c r="G152" i="5"/>
  <c r="F165" i="5"/>
  <c r="G313" i="5"/>
  <c r="G380" i="5"/>
  <c r="G172" i="5"/>
  <c r="F192" i="5"/>
  <c r="F232" i="5"/>
  <c r="F245" i="5"/>
  <c r="F312" i="5"/>
  <c r="G19" i="5"/>
  <c r="G39" i="5"/>
  <c r="G159" i="5"/>
  <c r="G6" i="5"/>
  <c r="G46" i="5"/>
  <c r="G66" i="5"/>
  <c r="G86" i="5"/>
  <c r="G106" i="5"/>
  <c r="G126" i="5"/>
  <c r="G279" i="5"/>
  <c r="G24" i="5"/>
  <c r="G44" i="5"/>
  <c r="G50" i="5"/>
  <c r="G70" i="5"/>
  <c r="F103" i="5"/>
  <c r="G110" i="5"/>
  <c r="F129" i="5"/>
  <c r="G136" i="5"/>
  <c r="G156" i="5"/>
  <c r="G222" i="5"/>
  <c r="F313" i="5"/>
  <c r="G320" i="5"/>
  <c r="G333" i="5"/>
  <c r="G353" i="5"/>
  <c r="G373" i="5"/>
  <c r="G393" i="5"/>
  <c r="G5" i="5"/>
  <c r="G11" i="5"/>
  <c r="G31" i="5"/>
  <c r="F57" i="5"/>
  <c r="G77" i="5"/>
  <c r="F117" i="5"/>
  <c r="G209" i="5"/>
  <c r="G248" i="5"/>
  <c r="G301" i="5"/>
  <c r="G340" i="5"/>
  <c r="F91" i="5"/>
  <c r="G58" i="5"/>
  <c r="G78" i="5"/>
  <c r="F249" i="5"/>
  <c r="F322" i="5"/>
  <c r="G69" i="5"/>
  <c r="G18" i="5"/>
  <c r="F111" i="5"/>
  <c r="F157" i="5"/>
  <c r="F177" i="5"/>
  <c r="G26" i="5"/>
  <c r="G72" i="5"/>
  <c r="G92" i="5"/>
  <c r="F112" i="5"/>
  <c r="F158" i="5"/>
  <c r="G184" i="5"/>
  <c r="G191" i="5"/>
  <c r="G204" i="5"/>
  <c r="F6" i="5"/>
  <c r="G13" i="5"/>
  <c r="G59" i="5"/>
  <c r="G79" i="5"/>
  <c r="F119" i="5"/>
  <c r="F211" i="5"/>
  <c r="G231" i="5"/>
  <c r="G276" i="5"/>
  <c r="G283" i="5"/>
  <c r="F362" i="5"/>
  <c r="G382" i="5"/>
  <c r="F402" i="5"/>
  <c r="G14" i="5"/>
  <c r="G60" i="5"/>
  <c r="G100" i="5"/>
  <c r="G166" i="5"/>
  <c r="G199" i="5"/>
  <c r="G264" i="5"/>
  <c r="G196" i="5"/>
  <c r="F329" i="5"/>
  <c r="G34" i="5"/>
  <c r="F80" i="5"/>
  <c r="G179" i="5"/>
  <c r="F41" i="5"/>
  <c r="G47" i="5"/>
  <c r="G107" i="5"/>
  <c r="F120" i="5"/>
  <c r="G133" i="5"/>
  <c r="G245" i="5"/>
  <c r="F291" i="5"/>
  <c r="G311" i="5"/>
  <c r="G350" i="5"/>
  <c r="G370" i="5"/>
  <c r="G390" i="5"/>
  <c r="G35" i="5"/>
  <c r="F81" i="5"/>
  <c r="G101" i="5"/>
  <c r="G153" i="5"/>
  <c r="F180" i="5"/>
  <c r="G200" i="5"/>
  <c r="G252" i="5"/>
  <c r="F272" i="5"/>
  <c r="G285" i="5"/>
  <c r="G364" i="5"/>
  <c r="F384" i="5"/>
  <c r="G404" i="5"/>
  <c r="F162" i="5"/>
  <c r="F22" i="5"/>
  <c r="G42" i="5"/>
  <c r="G48" i="5"/>
  <c r="G68" i="5"/>
  <c r="G88" i="5"/>
  <c r="F108" i="5"/>
  <c r="F121" i="5"/>
  <c r="G134" i="5"/>
  <c r="F154" i="5"/>
  <c r="F213" i="5"/>
  <c r="G220" i="5"/>
  <c r="G259" i="5"/>
  <c r="G344" i="5"/>
  <c r="G148" i="5"/>
  <c r="G168" i="5"/>
  <c r="F233" i="5"/>
  <c r="G240" i="5"/>
  <c r="G253" i="5"/>
  <c r="G273" i="5"/>
  <c r="G286" i="5"/>
  <c r="F345" i="5"/>
  <c r="G365" i="5"/>
  <c r="F398" i="5"/>
  <c r="G405" i="5"/>
  <c r="G16" i="5"/>
  <c r="G36" i="5"/>
  <c r="G62" i="5"/>
  <c r="G82" i="5"/>
  <c r="F102" i="5"/>
  <c r="G122" i="5"/>
  <c r="G29" i="5"/>
  <c r="G43" i="5"/>
  <c r="F49" i="5"/>
  <c r="G89" i="5"/>
  <c r="G109" i="5"/>
  <c r="G155" i="5"/>
  <c r="G221" i="5"/>
  <c r="F260" i="5"/>
  <c r="G280" i="5"/>
  <c r="G332" i="5"/>
  <c r="F352" i="5"/>
  <c r="G372" i="5"/>
  <c r="G392" i="5"/>
  <c r="G376" i="5"/>
  <c r="F18" i="5"/>
  <c r="F70" i="5"/>
  <c r="G389" i="5"/>
  <c r="G149" i="5"/>
  <c r="G154" i="5"/>
  <c r="F327" i="5"/>
  <c r="G352" i="5"/>
  <c r="F42" i="5"/>
  <c r="G65" i="5"/>
  <c r="G112" i="5"/>
  <c r="F198" i="5"/>
  <c r="F340" i="5"/>
  <c r="G161" i="5"/>
  <c r="G180" i="5"/>
  <c r="G187" i="5"/>
  <c r="G218" i="5"/>
  <c r="F224" i="5"/>
  <c r="G255" i="5"/>
  <c r="G260" i="5"/>
  <c r="G267" i="5"/>
  <c r="G298" i="5"/>
  <c r="F304" i="5"/>
  <c r="G335" i="5"/>
  <c r="G341" i="5"/>
  <c r="F353" i="5"/>
  <c r="G360" i="5"/>
  <c r="G366" i="5"/>
  <c r="G379" i="5"/>
  <c r="G384" i="5"/>
  <c r="G397" i="5"/>
  <c r="G15" i="5"/>
  <c r="G21" i="5"/>
  <c r="F26" i="5"/>
  <c r="G49" i="5"/>
  <c r="G55" i="5"/>
  <c r="F61" i="5"/>
  <c r="F66" i="5"/>
  <c r="F78" i="5"/>
  <c r="G84" i="5"/>
  <c r="G90" i="5"/>
  <c r="G114" i="5"/>
  <c r="G120" i="5"/>
  <c r="G132" i="5"/>
  <c r="F138" i="5"/>
  <c r="F144" i="5"/>
  <c r="F150" i="5"/>
  <c r="G162" i="5"/>
  <c r="G175" i="5"/>
  <c r="G181" i="5"/>
  <c r="F193" i="5"/>
  <c r="F205" i="5"/>
  <c r="G212" i="5"/>
  <c r="G249" i="5"/>
  <c r="G261" i="5"/>
  <c r="F273" i="5"/>
  <c r="F285" i="5"/>
  <c r="G292" i="5"/>
  <c r="G329" i="5"/>
  <c r="F385" i="5"/>
  <c r="G410" i="5"/>
  <c r="F197" i="5"/>
  <c r="F30" i="5"/>
  <c r="G53" i="5"/>
  <c r="G94" i="5"/>
  <c r="F358" i="5"/>
  <c r="F247" i="5"/>
  <c r="G25" i="5"/>
  <c r="G192" i="5"/>
  <c r="G2" i="5"/>
  <c r="F217" i="5"/>
  <c r="G316" i="5"/>
  <c r="G27" i="5"/>
  <c r="F33" i="5"/>
  <c r="F38" i="5"/>
  <c r="G61" i="5"/>
  <c r="G67" i="5"/>
  <c r="F73" i="5"/>
  <c r="G97" i="5"/>
  <c r="G108" i="5"/>
  <c r="F127" i="5"/>
  <c r="G145" i="5"/>
  <c r="G151" i="5"/>
  <c r="G157" i="5"/>
  <c r="G188" i="5"/>
  <c r="G194" i="5"/>
  <c r="G219" i="5"/>
  <c r="G224" i="5"/>
  <c r="G237" i="5"/>
  <c r="G268" i="5"/>
  <c r="G274" i="5"/>
  <c r="G299" i="5"/>
  <c r="G304" i="5"/>
  <c r="G317" i="5"/>
  <c r="G342" i="5"/>
  <c r="F392" i="5"/>
  <c r="F289" i="5"/>
  <c r="G401" i="5"/>
  <c r="G272" i="5"/>
  <c r="F125" i="5"/>
  <c r="F167" i="5"/>
  <c r="G139" i="5"/>
  <c r="G182" i="5"/>
  <c r="G213" i="5"/>
  <c r="F225" i="5"/>
  <c r="F237" i="5"/>
  <c r="G250" i="5"/>
  <c r="G256" i="5"/>
  <c r="G262" i="5"/>
  <c r="G293" i="5"/>
  <c r="F305" i="5"/>
  <c r="F317" i="5"/>
  <c r="G330" i="5"/>
  <c r="G336" i="5"/>
  <c r="G361" i="5"/>
  <c r="F367" i="5"/>
  <c r="F100" i="5"/>
  <c r="F106" i="5"/>
  <c r="F160" i="5"/>
  <c r="F173" i="5"/>
  <c r="F101" i="5"/>
  <c r="F14" i="5"/>
  <c r="G54" i="5"/>
  <c r="F133" i="5"/>
  <c r="F357" i="5"/>
  <c r="F58" i="5"/>
  <c r="F87" i="5"/>
  <c r="F296" i="5"/>
  <c r="G241" i="5"/>
  <c r="F297" i="5"/>
  <c r="G128" i="5"/>
  <c r="G170" i="5"/>
  <c r="G201" i="5"/>
  <c r="F207" i="5"/>
  <c r="G281" i="5"/>
  <c r="F287" i="5"/>
  <c r="F380" i="5"/>
  <c r="F209" i="5"/>
  <c r="F142" i="5"/>
  <c r="F143" i="5"/>
  <c r="F10" i="5"/>
  <c r="G33" i="5"/>
  <c r="G45" i="5"/>
  <c r="F152" i="5"/>
  <c r="G177" i="5"/>
  <c r="G232" i="5"/>
  <c r="F238" i="5"/>
  <c r="G312" i="5"/>
  <c r="F318" i="5"/>
  <c r="G349" i="5"/>
  <c r="F216" i="5"/>
  <c r="F277" i="5"/>
  <c r="F365" i="5"/>
  <c r="F62" i="5"/>
  <c r="G189" i="5"/>
  <c r="F269" i="5"/>
  <c r="G381" i="5"/>
  <c r="F393" i="5"/>
  <c r="F405" i="5"/>
  <c r="F82" i="5"/>
  <c r="F278" i="5"/>
  <c r="G229" i="5"/>
  <c r="F50" i="5"/>
  <c r="F85" i="5"/>
  <c r="G22" i="5"/>
  <c r="G23" i="5"/>
  <c r="F29" i="5"/>
  <c r="F34" i="5"/>
  <c r="G57" i="5"/>
  <c r="G63" i="5"/>
  <c r="F69" i="5"/>
  <c r="F74" i="5"/>
  <c r="F98" i="5"/>
  <c r="G105" i="5"/>
  <c r="G147" i="5"/>
  <c r="F153" i="5"/>
  <c r="G190" i="5"/>
  <c r="F196" i="5"/>
  <c r="F220" i="5"/>
  <c r="G239" i="5"/>
  <c r="F257" i="5"/>
  <c r="G270" i="5"/>
  <c r="F276" i="5"/>
  <c r="F300" i="5"/>
  <c r="G319" i="5"/>
  <c r="G338" i="5"/>
  <c r="F344" i="5"/>
  <c r="G369" i="5"/>
  <c r="G400" i="5"/>
  <c r="F141" i="5"/>
  <c r="G41" i="5"/>
  <c r="F407" i="5"/>
  <c r="G81" i="5"/>
  <c r="F136" i="5"/>
  <c r="F321" i="5"/>
  <c r="G309" i="5"/>
  <c r="G37" i="5"/>
  <c r="G396" i="5"/>
  <c r="F77" i="5"/>
  <c r="G137" i="5"/>
  <c r="G102" i="5"/>
  <c r="G236" i="5"/>
  <c r="G73" i="5"/>
  <c r="F104" i="5"/>
  <c r="F122" i="5"/>
  <c r="G146" i="5"/>
  <c r="G12" i="5"/>
  <c r="G52" i="5"/>
  <c r="G93" i="5"/>
  <c r="G99" i="5"/>
  <c r="G116" i="5"/>
  <c r="G123" i="5"/>
  <c r="G140" i="5"/>
  <c r="G158" i="5"/>
  <c r="G165" i="5"/>
  <c r="G178" i="5"/>
  <c r="F184" i="5"/>
  <c r="G215" i="5"/>
  <c r="G227" i="5"/>
  <c r="G258" i="5"/>
  <c r="F264" i="5"/>
  <c r="G295" i="5"/>
  <c r="G307" i="5"/>
  <c r="G363" i="5"/>
  <c r="G388" i="5"/>
  <c r="G394" i="5"/>
  <c r="G83" i="5"/>
  <c r="G163" i="5"/>
  <c r="G198" i="5"/>
  <c r="G207" i="5"/>
  <c r="G238" i="5"/>
  <c r="G247" i="5"/>
  <c r="G278" i="5"/>
  <c r="G287" i="5"/>
  <c r="G318" i="5"/>
  <c r="G327" i="5"/>
  <c r="G358" i="5"/>
  <c r="G367" i="5"/>
  <c r="G398" i="5"/>
  <c r="G407" i="5"/>
  <c r="F336" i="5"/>
  <c r="F376" i="5"/>
  <c r="G142" i="5"/>
  <c r="F3" i="5"/>
  <c r="F7" i="5"/>
  <c r="F11" i="5"/>
  <c r="F15" i="5"/>
  <c r="F19" i="5"/>
  <c r="F23" i="5"/>
  <c r="F27" i="5"/>
  <c r="F31" i="5"/>
  <c r="F35" i="5"/>
  <c r="F39" i="5"/>
  <c r="F43" i="5"/>
  <c r="F47" i="5"/>
  <c r="F51" i="5"/>
  <c r="F55" i="5"/>
  <c r="F59" i="5"/>
  <c r="F63" i="5"/>
  <c r="F67" i="5"/>
  <c r="F71" i="5"/>
  <c r="F75" i="5"/>
  <c r="F92" i="5"/>
  <c r="G96" i="5"/>
  <c r="F113" i="5"/>
  <c r="G117" i="5"/>
  <c r="F134" i="5"/>
  <c r="G138" i="5"/>
  <c r="G143" i="5"/>
  <c r="F155" i="5"/>
  <c r="F172" i="5"/>
  <c r="G185" i="5"/>
  <c r="F194" i="5"/>
  <c r="F203" i="5"/>
  <c r="F212" i="5"/>
  <c r="G225" i="5"/>
  <c r="F234" i="5"/>
  <c r="F243" i="5"/>
  <c r="F252" i="5"/>
  <c r="G265" i="5"/>
  <c r="F274" i="5"/>
  <c r="F283" i="5"/>
  <c r="F292" i="5"/>
  <c r="G305" i="5"/>
  <c r="F314" i="5"/>
  <c r="F323" i="5"/>
  <c r="F332" i="5"/>
  <c r="G345" i="5"/>
  <c r="F354" i="5"/>
  <c r="F363" i="5"/>
  <c r="F372" i="5"/>
  <c r="G385" i="5"/>
  <c r="F394" i="5"/>
  <c r="F403" i="5"/>
  <c r="F229" i="5"/>
  <c r="F88" i="5"/>
  <c r="F109" i="5"/>
  <c r="F130" i="5"/>
  <c r="F151" i="5"/>
  <c r="F168" i="5"/>
  <c r="F181" i="5"/>
  <c r="G186" i="5"/>
  <c r="G195" i="5"/>
  <c r="F221" i="5"/>
  <c r="G226" i="5"/>
  <c r="G235" i="5"/>
  <c r="F261" i="5"/>
  <c r="G266" i="5"/>
  <c r="G275" i="5"/>
  <c r="F301" i="5"/>
  <c r="G306" i="5"/>
  <c r="G315" i="5"/>
  <c r="F341" i="5"/>
  <c r="G346" i="5"/>
  <c r="G355" i="5"/>
  <c r="F381" i="5"/>
  <c r="G386" i="5"/>
  <c r="G395" i="5"/>
  <c r="G104" i="5"/>
  <c r="F79" i="5"/>
  <c r="G216" i="5"/>
  <c r="F84" i="5"/>
  <c r="F105" i="5"/>
  <c r="F126" i="5"/>
  <c r="G135" i="5"/>
  <c r="F147" i="5"/>
  <c r="F164" i="5"/>
  <c r="F190" i="5"/>
  <c r="F199" i="5"/>
  <c r="F208" i="5"/>
  <c r="F230" i="5"/>
  <c r="F239" i="5"/>
  <c r="F248" i="5"/>
  <c r="F270" i="5"/>
  <c r="F279" i="5"/>
  <c r="F288" i="5"/>
  <c r="F310" i="5"/>
  <c r="F319" i="5"/>
  <c r="F328" i="5"/>
  <c r="F350" i="5"/>
  <c r="F359" i="5"/>
  <c r="F368" i="5"/>
  <c r="F390" i="5"/>
  <c r="F399" i="5"/>
  <c r="F408" i="5"/>
  <c r="F146" i="5"/>
  <c r="F349" i="5"/>
  <c r="G176" i="5"/>
  <c r="F337" i="5"/>
  <c r="F377" i="5"/>
  <c r="F389" i="5"/>
  <c r="F83" i="5"/>
  <c r="G269" i="5"/>
  <c r="F76" i="5"/>
  <c r="G80" i="5"/>
  <c r="F97" i="5"/>
  <c r="F118" i="5"/>
  <c r="G127" i="5"/>
  <c r="F139" i="5"/>
  <c r="F156" i="5"/>
  <c r="F186" i="5"/>
  <c r="F195" i="5"/>
  <c r="F204" i="5"/>
  <c r="F226" i="5"/>
  <c r="F235" i="5"/>
  <c r="F244" i="5"/>
  <c r="F266" i="5"/>
  <c r="F275" i="5"/>
  <c r="F284" i="5"/>
  <c r="F306" i="5"/>
  <c r="F315" i="5"/>
  <c r="F324" i="5"/>
  <c r="F346" i="5"/>
  <c r="F355" i="5"/>
  <c r="F364" i="5"/>
  <c r="F386" i="5"/>
  <c r="F395" i="5"/>
  <c r="F404" i="5"/>
  <c r="F256" i="5"/>
  <c r="G296" i="5"/>
  <c r="F93" i="5"/>
  <c r="F135" i="5"/>
  <c r="F253" i="5"/>
  <c r="F293" i="5"/>
  <c r="F333" i="5"/>
  <c r="F373" i="5"/>
  <c r="F309" i="5"/>
  <c r="F159" i="5"/>
  <c r="F4" i="5"/>
  <c r="F8" i="5"/>
  <c r="F12" i="5"/>
  <c r="F16" i="5"/>
  <c r="F20" i="5"/>
  <c r="F24" i="5"/>
  <c r="F28" i="5"/>
  <c r="F32" i="5"/>
  <c r="F36" i="5"/>
  <c r="F40" i="5"/>
  <c r="F44" i="5"/>
  <c r="F48" i="5"/>
  <c r="F52" i="5"/>
  <c r="F56" i="5"/>
  <c r="F60" i="5"/>
  <c r="F64" i="5"/>
  <c r="F68" i="5"/>
  <c r="F72" i="5"/>
  <c r="F114" i="5"/>
  <c r="F89" i="5"/>
  <c r="F110" i="5"/>
  <c r="G119" i="5"/>
  <c r="F131" i="5"/>
  <c r="F148" i="5"/>
  <c r="F169" i="5"/>
  <c r="F182" i="5"/>
  <c r="F191" i="5"/>
  <c r="F200" i="5"/>
  <c r="F222" i="5"/>
  <c r="F231" i="5"/>
  <c r="F240" i="5"/>
  <c r="F262" i="5"/>
  <c r="F271" i="5"/>
  <c r="F280" i="5"/>
  <c r="F302" i="5"/>
  <c r="F311" i="5"/>
  <c r="F320" i="5"/>
  <c r="F342" i="5"/>
  <c r="F351" i="5"/>
  <c r="F360" i="5"/>
  <c r="F382" i="5"/>
  <c r="F391" i="5"/>
  <c r="F400" i="5"/>
  <c r="G115" i="5"/>
  <c r="G174" i="5"/>
  <c r="G183" i="5"/>
  <c r="G214" i="5"/>
  <c r="G223" i="5"/>
  <c r="G254" i="5"/>
  <c r="G263" i="5"/>
  <c r="G294" i="5"/>
  <c r="G303" i="5"/>
  <c r="G334" i="5"/>
  <c r="G343" i="5"/>
  <c r="F369" i="5"/>
  <c r="G374" i="5"/>
  <c r="G383" i="5"/>
  <c r="F409" i="5"/>
  <c r="G111" i="5"/>
  <c r="F123" i="5"/>
  <c r="F178" i="5"/>
  <c r="F187" i="5"/>
  <c r="F218" i="5"/>
  <c r="F227" i="5"/>
  <c r="F258" i="5"/>
  <c r="F267" i="5"/>
  <c r="F298" i="5"/>
  <c r="F307" i="5"/>
  <c r="F338" i="5"/>
  <c r="F347" i="5"/>
  <c r="F356" i="5"/>
  <c r="F378" i="5"/>
  <c r="F387" i="5"/>
  <c r="G121" i="5"/>
  <c r="F5" i="5"/>
  <c r="F9" i="5"/>
  <c r="F13" i="5"/>
  <c r="F17" i="5"/>
  <c r="F21" i="5"/>
  <c r="G103" i="5"/>
  <c r="F115" i="5"/>
  <c r="F174" i="5"/>
  <c r="F183" i="5"/>
  <c r="F214" i="5"/>
  <c r="F223" i="5"/>
  <c r="F254" i="5"/>
  <c r="F263" i="5"/>
  <c r="F294" i="5"/>
  <c r="F303" i="5"/>
  <c r="F334" i="5"/>
  <c r="F343" i="5"/>
  <c r="F374" i="5"/>
  <c r="F383" i="5"/>
  <c r="F189" i="5"/>
  <c r="G125" i="5"/>
  <c r="F90" i="5"/>
  <c r="F128" i="5"/>
  <c r="F149" i="5"/>
  <c r="F170" i="5"/>
  <c r="F201" i="5"/>
  <c r="F241" i="5"/>
  <c r="F281" i="5"/>
  <c r="F361" i="5"/>
  <c r="G375" i="5"/>
  <c r="G406" i="5"/>
  <c r="F86" i="5"/>
  <c r="G95" i="5"/>
  <c r="F107" i="5"/>
  <c r="F124" i="5"/>
  <c r="F145" i="5"/>
  <c r="F166" i="5"/>
  <c r="F179" i="5"/>
  <c r="F188" i="5"/>
  <c r="F210" i="5"/>
  <c r="F219" i="5"/>
  <c r="F228" i="5"/>
  <c r="F250" i="5"/>
  <c r="F259" i="5"/>
  <c r="F268" i="5"/>
  <c r="F290" i="5"/>
  <c r="F299" i="5"/>
  <c r="F308" i="5"/>
  <c r="F330" i="5"/>
  <c r="F339" i="5"/>
  <c r="F348" i="5"/>
  <c r="F370" i="5"/>
  <c r="F379" i="5"/>
  <c r="F388" i="5"/>
  <c r="G171" i="5"/>
  <c r="G202" i="5"/>
  <c r="G211" i="5"/>
  <c r="G242" i="5"/>
  <c r="G251" i="5"/>
  <c r="G282" i="5"/>
  <c r="G291" i="5"/>
  <c r="G322" i="5"/>
  <c r="G331" i="5"/>
  <c r="G362" i="5"/>
  <c r="G371" i="5"/>
  <c r="F397" i="5"/>
  <c r="G402" i="5"/>
  <c r="G91" i="5"/>
  <c r="G87" i="5"/>
  <c r="F99" i="5"/>
  <c r="G167" i="5"/>
  <c r="F175" i="5"/>
  <c r="F206" i="5"/>
  <c r="F215" i="5"/>
  <c r="F246" i="5"/>
  <c r="F255" i="5"/>
  <c r="F286" i="5"/>
  <c r="F295" i="5"/>
  <c r="F326" i="5"/>
  <c r="F335" i="5"/>
  <c r="F366" i="5"/>
  <c r="F375" i="5"/>
  <c r="F406" i="5"/>
  <c r="F410" i="5"/>
  <c r="F411" i="5"/>
  <c r="J5" i="5" l="1"/>
  <c r="J3" i="5"/>
  <c r="J4" i="5"/>
</calcChain>
</file>

<file path=xl/sharedStrings.xml><?xml version="1.0" encoding="utf-8"?>
<sst xmlns="http://schemas.openxmlformats.org/spreadsheetml/2006/main" count="1790" uniqueCount="840">
  <si>
    <t>name</t>
  </si>
  <si>
    <t>email</t>
  </si>
  <si>
    <t>Wendys Blanco</t>
  </si>
  <si>
    <t>wendyblanco65@gmail.com</t>
  </si>
  <si>
    <t>Jefferson Velasquez</t>
  </si>
  <si>
    <t>jefferson.velasquez.rojas@unillanos.edu.co</t>
  </si>
  <si>
    <t>NELSON QUEVEDO</t>
  </si>
  <si>
    <t>nmqe1970@gmail.com</t>
  </si>
  <si>
    <t>william montes chamorro</t>
  </si>
  <si>
    <t>williammonteschamorro@gmail.com</t>
  </si>
  <si>
    <t>Daniela Garcia Jimenez</t>
  </si>
  <si>
    <t>danielagarciajimenez107@outlook.com</t>
  </si>
  <si>
    <t>Dania Faisuly Gaitan Godoy</t>
  </si>
  <si>
    <t>dania.gaitan.godoy@unillanos.edu.co</t>
  </si>
  <si>
    <t>Luisa Fernanda Fajardo</t>
  </si>
  <si>
    <t>luisafajardog.28@gmail.com</t>
  </si>
  <si>
    <t>Denise Hernandez</t>
  </si>
  <si>
    <t>denise.hernandez.gonzalez@gmail.com</t>
  </si>
  <si>
    <t>Alejandro Jaramillo</t>
  </si>
  <si>
    <t>ajaramillolaverde@gmail.com</t>
  </si>
  <si>
    <t>Alejandro Barrera Escobar</t>
  </si>
  <si>
    <t>alejo_barrera211@hotmail.com</t>
  </si>
  <si>
    <t>Octavio Ramos cerpa</t>
  </si>
  <si>
    <t>octavioramoscerpa@gmail.com</t>
  </si>
  <si>
    <t>karen alean</t>
  </si>
  <si>
    <t>karenalean361@gmail.com</t>
  </si>
  <si>
    <t>Kelly Tatiana Leon Acosta</t>
  </si>
  <si>
    <t>leontatiana.leon73@gmail.com</t>
  </si>
  <si>
    <t>Felipe Solano Fitzgerald</t>
  </si>
  <si>
    <t>fsolanof@gmail.com</t>
  </si>
  <si>
    <t>Lorena Franco Acevedo</t>
  </si>
  <si>
    <t>lorefranco.a@hotmail.com</t>
  </si>
  <si>
    <t>Edwin Dario Betancur Hoyos</t>
  </si>
  <si>
    <t>edwinbeta@gmail.com</t>
  </si>
  <si>
    <t>DIEGO ANDRES BELTRAN OCAMPO</t>
  </si>
  <si>
    <t>dabeltran.ocampo@unillanos.edu.co</t>
  </si>
  <si>
    <t>Jack Arroyo</t>
  </si>
  <si>
    <t>jackliv@gmail.com</t>
  </si>
  <si>
    <t>Jorge Luis</t>
  </si>
  <si>
    <t>aquinosuarez@gmail.com</t>
  </si>
  <si>
    <t>Leyanis</t>
  </si>
  <si>
    <t>leyanis.mesa@gmail.com</t>
  </si>
  <si>
    <t>Laura Castellari</t>
  </si>
  <si>
    <t>lcastellari1991@gmail.com</t>
  </si>
  <si>
    <t>Yenifer Tamara Gomez Franco</t>
  </si>
  <si>
    <t>gomezyt07@gmail.com</t>
  </si>
  <si>
    <t>Ivan Posada</t>
  </si>
  <si>
    <t>ivan.jose.posada.almanza@gmail.com</t>
  </si>
  <si>
    <t>Juan Sebastian Salamanca Ávila</t>
  </si>
  <si>
    <t>jsalamanca288@gmail.com</t>
  </si>
  <si>
    <t>Joel Giménez</t>
  </si>
  <si>
    <t>rodrifernan891@gmail.com</t>
  </si>
  <si>
    <t>JHON JAVIER MUÑOZ GARRO</t>
  </si>
  <si>
    <t>jhon.garro@correounivalle.edu.co</t>
  </si>
  <si>
    <t>Junior Aguilar Tito</t>
  </si>
  <si>
    <t>juniorclaudioaguilartito@gmail.com</t>
  </si>
  <si>
    <t>German Alfaro</t>
  </si>
  <si>
    <t>germanruiz7@gmail.com</t>
  </si>
  <si>
    <t>Hugo Andrés Pabón</t>
  </si>
  <si>
    <t>elmataabuelitas5200@gmail.com</t>
  </si>
  <si>
    <t>Erick Bryan Tomaya Huamani</t>
  </si>
  <si>
    <t>etomaya@unsa.edu.pe</t>
  </si>
  <si>
    <t>Jaireth Gicelis Avendaño Galvis</t>
  </si>
  <si>
    <t>jaireth.avendano125@educacionbogota.edu.co</t>
  </si>
  <si>
    <t>Maria Claudia Acosta</t>
  </si>
  <si>
    <t>mariace0431@gmail.com</t>
  </si>
  <si>
    <t>DARWIN MENA RENTERÍA</t>
  </si>
  <si>
    <t>ingemena2@gmail.com</t>
  </si>
  <si>
    <t>Danna Isabel Jiménez Narváez</t>
  </si>
  <si>
    <t>danajimeneznarvaez1999@gmail.com</t>
  </si>
  <si>
    <t>Laura Camila vargas Cruz</t>
  </si>
  <si>
    <t>lvargascruz41@gmail.com</t>
  </si>
  <si>
    <t>Mayerly Paola Muñoz Montero</t>
  </si>
  <si>
    <t>mayerlypm25@gmail.com</t>
  </si>
  <si>
    <t>Geraldyne Rozo</t>
  </si>
  <si>
    <t>geraldinerozo@gmail.com</t>
  </si>
  <si>
    <t>Luis Alejandro Arias</t>
  </si>
  <si>
    <t>lariasb@ecci.edu.co</t>
  </si>
  <si>
    <t>Natalia Correa Bedoya</t>
  </si>
  <si>
    <t>ncorreabedoya@gmail.com</t>
  </si>
  <si>
    <t>CRISTIAN LEONARDO PARDO ROMERO</t>
  </si>
  <si>
    <t>cristianp969194@gmail.com</t>
  </si>
  <si>
    <t>Alejandro Sarmiento</t>
  </si>
  <si>
    <t>alejo.sarmiento14@gmail.com</t>
  </si>
  <si>
    <t>Luis Diego Soto Zocón</t>
  </si>
  <si>
    <t>zocond1998@gmail.com</t>
  </si>
  <si>
    <t>Gustavo Velandia Romero</t>
  </si>
  <si>
    <t>gustavovelandia80@gmail.com</t>
  </si>
  <si>
    <t>MARTHA LILIANA FRANCO RINCÓN</t>
  </si>
  <si>
    <t>martha.francor@outlook.com</t>
  </si>
  <si>
    <t>Danny Jimenez</t>
  </si>
  <si>
    <t>da.jimenezm@uniandes.edu.co</t>
  </si>
  <si>
    <t>Jorge Arturo Calderón Cómbita</t>
  </si>
  <si>
    <t>jarturocalderonc@gmail.com</t>
  </si>
  <si>
    <t>Milton Alvear</t>
  </si>
  <si>
    <t>mgalveara@gmail.com</t>
  </si>
  <si>
    <t>Jhon Mario Bravo Calderon</t>
  </si>
  <si>
    <t>jmanttosoluciones01@yahoo.com</t>
  </si>
  <si>
    <t>Martha Nelly Restrepo Giraldo</t>
  </si>
  <si>
    <t>martharestrepo390@gmail.com</t>
  </si>
  <si>
    <t>Valentina</t>
  </si>
  <si>
    <t>valentinaloperacastaneda@gmail.com</t>
  </si>
  <si>
    <t>Dora Lombo</t>
  </si>
  <si>
    <t>adrianalombo@gmail.com</t>
  </si>
  <si>
    <t>Gabriela Peña Alcívar</t>
  </si>
  <si>
    <t>gpena.territoria@espam.edu.ec</t>
  </si>
  <si>
    <t>Cecilia</t>
  </si>
  <si>
    <t>mariaceciliatopy@gmail.com</t>
  </si>
  <si>
    <t>Andrés Felipe Becerra Puerto</t>
  </si>
  <si>
    <t>andresfb2301@gmail.com</t>
  </si>
  <si>
    <t>Briam Duarte</t>
  </si>
  <si>
    <t>briamduarteperez@gmail.com</t>
  </si>
  <si>
    <t>Claudia Cristina Garcia Moreno</t>
  </si>
  <si>
    <t>profeclaudia21@gmail.com</t>
  </si>
  <si>
    <t>Alfredo Pabón</t>
  </si>
  <si>
    <t>jalfredopabon@gmail.com</t>
  </si>
  <si>
    <t>Tatiana Castillo</t>
  </si>
  <si>
    <t>tatiskastillo@gmail.com</t>
  </si>
  <si>
    <t>Camilo Andrés Laverde Corredor</t>
  </si>
  <si>
    <t>kanlaco@gmail.com</t>
  </si>
  <si>
    <t>Patricia Duenas</t>
  </si>
  <si>
    <t>patriciadugnas@gmail.com</t>
  </si>
  <si>
    <t>Juan Pablo Arbelaez Otalvaro</t>
  </si>
  <si>
    <t>juanpa1637jake@gmail.com</t>
  </si>
  <si>
    <t>Andrea Abaunza Galvis</t>
  </si>
  <si>
    <t>andreabaunza@gmail.com</t>
  </si>
  <si>
    <t>Wilinton Javier Ortiz Amador</t>
  </si>
  <si>
    <t>w.ortizamador@gmail.com</t>
  </si>
  <si>
    <t>Jose Eduardo Díaz Cubides</t>
  </si>
  <si>
    <t>jose.diaz.cubides@unillanos.edu.co</t>
  </si>
  <si>
    <t>Melissa Rodriguez</t>
  </si>
  <si>
    <t>mrodriguez.gonzalez@unillanos.edu.co</t>
  </si>
  <si>
    <t>Sofia Iregui</t>
  </si>
  <si>
    <t>sofia.iregui@unillanos.edu.co</t>
  </si>
  <si>
    <t>Heiddy Paola Quiroz Gaitán</t>
  </si>
  <si>
    <t>hpquirozg@unal.edu.co</t>
  </si>
  <si>
    <t>Yeimy Camargo</t>
  </si>
  <si>
    <t>ydcamargoc@unal.edu.co</t>
  </si>
  <si>
    <t>Angy Rios Pedraza</t>
  </si>
  <si>
    <t>angy.rios@uniminuto.edu.co</t>
  </si>
  <si>
    <t>YESSICA PAOLA JARAMILLO CARDEÑO J.c</t>
  </si>
  <si>
    <t>ypjaramilloc@gmail.com</t>
  </si>
  <si>
    <t>Javier Carpintero</t>
  </si>
  <si>
    <t>jcarpint3@cuc.edu.co</t>
  </si>
  <si>
    <t>Susana Morales</t>
  </si>
  <si>
    <t>susanamoralesar@gmail.com</t>
  </si>
  <si>
    <t>Camilo andres Chacon moreno</t>
  </si>
  <si>
    <t>cami2005.cm@gmail.com</t>
  </si>
  <si>
    <t>Angelica Ricardo</t>
  </si>
  <si>
    <t>angyricar@yahoo.com</t>
  </si>
  <si>
    <t>RICARDO GÓMEZ SUÁREZ</t>
  </si>
  <si>
    <t>r.gomezsu@gmail.com</t>
  </si>
  <si>
    <t>Melina</t>
  </si>
  <si>
    <t>milericar2018@gmail.com</t>
  </si>
  <si>
    <t>VICTORIA INÉS SOTO OSPINO</t>
  </si>
  <si>
    <t>kioratravel@gmail.com</t>
  </si>
  <si>
    <t>Michael Vanoy</t>
  </si>
  <si>
    <t>mvanoy17@uan.edu.co</t>
  </si>
  <si>
    <t>Helena Patricia Luna Serpa</t>
  </si>
  <si>
    <t>helena.corporativo87@gmail.com</t>
  </si>
  <si>
    <t>Eduin Culma</t>
  </si>
  <si>
    <t>tomorro91@gmail.com</t>
  </si>
  <si>
    <t>Randy Triana</t>
  </si>
  <si>
    <t>trianarandy@gmail.com</t>
  </si>
  <si>
    <t>Eduardo</t>
  </si>
  <si>
    <t>eduardotovarmurcia@gmail.com</t>
  </si>
  <si>
    <t>Nini Johana Santanilla</t>
  </si>
  <si>
    <t>johana.santanilla.v@gmail.com</t>
  </si>
  <si>
    <t>paula calderon</t>
  </si>
  <si>
    <t>paucldrn123@gmail.com</t>
  </si>
  <si>
    <t>Daniel Alberto Chacón Alonso</t>
  </si>
  <si>
    <t>252t0664@itsm.edu.mx</t>
  </si>
  <si>
    <t>Rafael García Vides</t>
  </si>
  <si>
    <t>supsoporteproduccion2@banasan.com.co</t>
  </si>
  <si>
    <t>Alberto Peralta</t>
  </si>
  <si>
    <t>aperalta@ups.edu.ec</t>
  </si>
  <si>
    <t>Julian Andrés Pérez Ortega</t>
  </si>
  <si>
    <t>jperezmaster2998@gmail.com</t>
  </si>
  <si>
    <t>Pedro Luis Collazo Abreu</t>
  </si>
  <si>
    <t>pedrocollazo1988@gmail.com</t>
  </si>
  <si>
    <t xml:space="preserve">Veronica </t>
  </si>
  <si>
    <t>vronika7923@gmail.com</t>
  </si>
  <si>
    <t xml:space="preserve">Kely Hincapie </t>
  </si>
  <si>
    <t>kjhincapie6@gmail.com</t>
  </si>
  <si>
    <t>Luis Eduardo</t>
  </si>
  <si>
    <t>lriascos45@yahoo.es</t>
  </si>
  <si>
    <t>ANGEL RODRIGUEZ</t>
  </si>
  <si>
    <t>angelrodrich@gmail.com</t>
  </si>
  <si>
    <t>Mateo Agudelo</t>
  </si>
  <si>
    <t>amagudelo@unillanos.edu.co</t>
  </si>
  <si>
    <t>Andrés Felipe Villadiego arteaga</t>
  </si>
  <si>
    <t>andresf.villadiego@gmail.com</t>
  </si>
  <si>
    <t>Patt</t>
  </si>
  <si>
    <t>sadupa2@gmail.com</t>
  </si>
  <si>
    <t>Ritesh kumar</t>
  </si>
  <si>
    <t>ritesh7739128515@gmail.com</t>
  </si>
  <si>
    <t>Ricardo Ruiz Latorre</t>
  </si>
  <si>
    <t>ricardo.ruiz.latorre@gmail.com</t>
  </si>
  <si>
    <t>ALEJANDRO MOLINA CANO</t>
  </si>
  <si>
    <t>alemolinac@yahoo.es</t>
  </si>
  <si>
    <t>Laura Andrea Benegas Negri</t>
  </si>
  <si>
    <t>lbnegri@gmail.com</t>
  </si>
  <si>
    <t>Eduardo Carcamo Munguia</t>
  </si>
  <si>
    <t>cam.eduardo@gmail.com</t>
  </si>
  <si>
    <t>Carlos Lopez</t>
  </si>
  <si>
    <t>carlosdantemag@gmail.com</t>
  </si>
  <si>
    <t>Ariel Escalante</t>
  </si>
  <si>
    <t>ariel592@hotmail.com</t>
  </si>
  <si>
    <t>Estefanía Piñeros</t>
  </si>
  <si>
    <t>estefaniap2007@gmail.com</t>
  </si>
  <si>
    <t>Edith Sawyers Cabraca</t>
  </si>
  <si>
    <t>esawyersc@gmail.com</t>
  </si>
  <si>
    <t>Jose Rico</t>
  </si>
  <si>
    <t>jvrico@yahoo.com</t>
  </si>
  <si>
    <t>Jose Antonio</t>
  </si>
  <si>
    <t>jaosunita@gmail.com</t>
  </si>
  <si>
    <t>Cristina López</t>
  </si>
  <si>
    <t>cristinalopez576@gmail.com</t>
  </si>
  <si>
    <t>Genett Jimenez</t>
  </si>
  <si>
    <t>ingeisa@yahoo.com</t>
  </si>
  <si>
    <t>Juan Alexander</t>
  </si>
  <si>
    <t>juanescalante.mc@gmail.com</t>
  </si>
  <si>
    <t>Jacqueline De Rurange</t>
  </si>
  <si>
    <t>jderurange@gmail.com</t>
  </si>
  <si>
    <t>María Alejandra Garzón Sánchez</t>
  </si>
  <si>
    <t>alejandrags0801@gmail.com</t>
  </si>
  <si>
    <t>Elvin Josue Carrillo Moron</t>
  </si>
  <si>
    <t>elvincamor@gmail.com</t>
  </si>
  <si>
    <t>Carmen María Gallardo</t>
  </si>
  <si>
    <t>carmenmariagallre@gmail.com</t>
  </si>
  <si>
    <t>Zinthia Selene Chaparro Perez</t>
  </si>
  <si>
    <t>selenechaparroperez2001@gmail.com</t>
  </si>
  <si>
    <t>Ángela Rodríguez</t>
  </si>
  <si>
    <t>rodout76@hotmail.com</t>
  </si>
  <si>
    <t>Edwin</t>
  </si>
  <si>
    <t>edwinalejandroramirez@gmail.com</t>
  </si>
  <si>
    <t>Luis Carlos Hernández Elías</t>
  </si>
  <si>
    <t>luisc.hernandez@ucc.edu.co</t>
  </si>
  <si>
    <t>Angela María Restrepo</t>
  </si>
  <si>
    <t>angelamars18@gmail.com</t>
  </si>
  <si>
    <t>Ana Mora</t>
  </si>
  <si>
    <t>anamariamoranunez112@gmail.com</t>
  </si>
  <si>
    <t>Guillermo Obando Navarro</t>
  </si>
  <si>
    <t>guion99@gmail.com</t>
  </si>
  <si>
    <t>Antonia Flórez</t>
  </si>
  <si>
    <t>antonia.florez2020@gmail.com</t>
  </si>
  <si>
    <t>CATALINA DEL ROCIO</t>
  </si>
  <si>
    <t>catilin27@gmail.com</t>
  </si>
  <si>
    <t>Keyla Diaz</t>
  </si>
  <si>
    <t>keyladiazv2712@gmail.com</t>
  </si>
  <si>
    <t>Mary</t>
  </si>
  <si>
    <t>maribelm2@gmail.com</t>
  </si>
  <si>
    <t>Esperanza</t>
  </si>
  <si>
    <t>esperanza7609@gmail.com</t>
  </si>
  <si>
    <t>Henry Omar Paipa Alvarez</t>
  </si>
  <si>
    <t>henryomarpaipa1@gmail.com</t>
  </si>
  <si>
    <t>Gabriel</t>
  </si>
  <si>
    <t>gabrielmontoya031@gmail.com</t>
  </si>
  <si>
    <t>Germán Alzate</t>
  </si>
  <si>
    <t>ocaris17@gmail.com</t>
  </si>
  <si>
    <t>Maria Noguera</t>
  </si>
  <si>
    <t>moon1789@hotmail.com</t>
  </si>
  <si>
    <t>Julián</t>
  </si>
  <si>
    <t>cortesjuli@yahoo.es</t>
  </si>
  <si>
    <t>Andres Zambrano</t>
  </si>
  <si>
    <t>gerente@minegocio-web.com</t>
  </si>
  <si>
    <t>John Edison</t>
  </si>
  <si>
    <t>john.chivata@uptc.edu.co</t>
  </si>
  <si>
    <t>Yenny paola MACHUCA</t>
  </si>
  <si>
    <t>yennymachuca21@gmail.com</t>
  </si>
  <si>
    <t>LUIS ALFONSO ARARAT RODRÍGUEZ</t>
  </si>
  <si>
    <t>luis.ararat@unillanos.edu.co</t>
  </si>
  <si>
    <t>Jesus Serpa</t>
  </si>
  <si>
    <t>serpajesus2003@gmail.com</t>
  </si>
  <si>
    <t>Carlos Andrés Díaz Santacruz</t>
  </si>
  <si>
    <t>caandisa@gmail.com</t>
  </si>
  <si>
    <t>Miguel Naranjo</t>
  </si>
  <si>
    <t>galindonaranjomiguel@gmail.com</t>
  </si>
  <si>
    <t>Ana Sofia A</t>
  </si>
  <si>
    <t>anisofia.andrade@gmail.com</t>
  </si>
  <si>
    <t>Ana María Muñoz</t>
  </si>
  <si>
    <t>anam@unicauca.edu.co</t>
  </si>
  <si>
    <t>Zurisadai Florez Ruiz</t>
  </si>
  <si>
    <t>zurisadai.florez@uniminuto.edu.co</t>
  </si>
  <si>
    <t>Harold Peña</t>
  </si>
  <si>
    <t>harold.siembracorp@gmail.com</t>
  </si>
  <si>
    <t>Nury Olaya</t>
  </si>
  <si>
    <t>nuryolaya@gmail.com</t>
  </si>
  <si>
    <t>Ericka Jimenez Rodriguez</t>
  </si>
  <si>
    <t>erickaalexandra@gmail.com</t>
  </si>
  <si>
    <t>Juan Carlos Vinasco</t>
  </si>
  <si>
    <t>vigalvis@gmail.com</t>
  </si>
  <si>
    <t>Juan Bastos</t>
  </si>
  <si>
    <t>juan.bastos@outlook.com</t>
  </si>
  <si>
    <t>Vicente Moreno</t>
  </si>
  <si>
    <t>chentemoreno2@gmail.com</t>
  </si>
  <si>
    <t>Carlos Andres Urrego Castañeda</t>
  </si>
  <si>
    <t>urregocastanedac510@gmail.com</t>
  </si>
  <si>
    <t>Yicel</t>
  </si>
  <si>
    <t>tallerdgrobayo@gmail.com</t>
  </si>
  <si>
    <t>Diego Exequiel Fernandez</t>
  </si>
  <si>
    <t>fernandezdie92@gmail.com</t>
  </si>
  <si>
    <t>Lina Sierra</t>
  </si>
  <si>
    <t>lina28097@gmail.com</t>
  </si>
  <si>
    <t>gonzalo Ivan Acuña</t>
  </si>
  <si>
    <t>agonzalo.unsa@gmail.com</t>
  </si>
  <si>
    <t>Andres Diez</t>
  </si>
  <si>
    <t>andresmd3@gmail.com</t>
  </si>
  <si>
    <t>Nilson Steven Calderon Diaz</t>
  </si>
  <si>
    <t>nilsoncalderondiaz@gmail.com</t>
  </si>
  <si>
    <t>Erika Zambrano</t>
  </si>
  <si>
    <t>erikita07@gmail.com</t>
  </si>
  <si>
    <t>Diego Diaz</t>
  </si>
  <si>
    <t>diegodiazr.dd@gmail.com</t>
  </si>
  <si>
    <t>Jhoan Nicolás Villarreal Moreno</t>
  </si>
  <si>
    <t>jhoan.villarreal@unillanos.edu.co</t>
  </si>
  <si>
    <t>David Almanza</t>
  </si>
  <si>
    <t>hernan.alman@gmail.com</t>
  </si>
  <si>
    <t>Percy</t>
  </si>
  <si>
    <t>spercyalexis@gmail.com</t>
  </si>
  <si>
    <t>Andrea</t>
  </si>
  <si>
    <t>eandreaja@gmail.com</t>
  </si>
  <si>
    <t>Oscar Ivan</t>
  </si>
  <si>
    <t>oscar.vargas@unillanos.edu.co</t>
  </si>
  <si>
    <t>Angela María Quintana Guerrero</t>
  </si>
  <si>
    <t>amikin@gmail.com</t>
  </si>
  <si>
    <t>CESAR WALTER CARDENAS AZURa</t>
  </si>
  <si>
    <t>cesar_31416@hotmail.com</t>
  </si>
  <si>
    <t>Lali Valentina Pedroza Amado</t>
  </si>
  <si>
    <t>valentinapedroza98@gmail.com</t>
  </si>
  <si>
    <t>Oscar Ivan Vargas Pineda</t>
  </si>
  <si>
    <t>opvargas23@gmail.com</t>
  </si>
  <si>
    <t>Jorge velasquez</t>
  </si>
  <si>
    <t>jorgearmandovelasquezjara@gmail.com</t>
  </si>
  <si>
    <t>manuelortega26@gmail.com</t>
  </si>
  <si>
    <t xml:space="preserve">Alejandra </t>
  </si>
  <si>
    <t>alejandramcr7@gmail.com</t>
  </si>
  <si>
    <t>Lucy</t>
  </si>
  <si>
    <t>luucy.bg1010@gmail.com</t>
  </si>
  <si>
    <t xml:space="preserve">Eduardo Victor Garcia Saravia </t>
  </si>
  <si>
    <t>eduardogs_27@hotmail.com</t>
  </si>
  <si>
    <t>ANTENOR JOSE PRENT RAMIREZ</t>
  </si>
  <si>
    <t>prent3838@gmail.com</t>
  </si>
  <si>
    <t xml:space="preserve">dayana sepulveda </t>
  </si>
  <si>
    <t>dayasesa82@gmail.com</t>
  </si>
  <si>
    <t>juan david torres galindo</t>
  </si>
  <si>
    <t>juandavidtorresgalindo829@gmail.com</t>
  </si>
  <si>
    <t>Carol Pomares</t>
  </si>
  <si>
    <t>carolpomarescorredor@yahoo.es</t>
  </si>
  <si>
    <t>Sandra Milena Rodríguez Bernal</t>
  </si>
  <si>
    <t>milerobe@gmail.com</t>
  </si>
  <si>
    <t>Luis Fernando Sanchez Florez</t>
  </si>
  <si>
    <t>lfersan@gmail.com</t>
  </si>
  <si>
    <t>Julian Andres Correa Vera</t>
  </si>
  <si>
    <t>juliancorrea386@gmail.com</t>
  </si>
  <si>
    <t>DANIEL PAJOY</t>
  </si>
  <si>
    <t>daniel@unicauca.edu.co</t>
  </si>
  <si>
    <t>Hugo Fabian Horta</t>
  </si>
  <si>
    <t>favhyan@gmail.com</t>
  </si>
  <si>
    <t xml:space="preserve">Mateo Arian Ludeña Alfaro </t>
  </si>
  <si>
    <t>alfanom05@gmail.com</t>
  </si>
  <si>
    <t>Brayan</t>
  </si>
  <si>
    <t>brasencabo@gmail.com</t>
  </si>
  <si>
    <t>Israel Ortega</t>
  </si>
  <si>
    <t>mcisrael15@gmail.com</t>
  </si>
  <si>
    <t>Maria Virgelma Torres Belisario</t>
  </si>
  <si>
    <t>mariavirgelmatorresbelisario@gmail.com</t>
  </si>
  <si>
    <t>Francisco</t>
  </si>
  <si>
    <t>franciscoknonv@gmail.com</t>
  </si>
  <si>
    <t>Janet De La Cruz Agudelo Carmona</t>
  </si>
  <si>
    <t>janetdelacruz.agudelo@hotmail.com</t>
  </si>
  <si>
    <t>Everardo Manuel Sanchez Puche</t>
  </si>
  <si>
    <t>everardo.sanchez@unisimon.edu.co</t>
  </si>
  <si>
    <t>Lina Marcela Jiménez</t>
  </si>
  <si>
    <t>linamarcelaj@yahoo.es</t>
  </si>
  <si>
    <t>brayancusna@gmail.com</t>
  </si>
  <si>
    <t>Ricardo Gelvez</t>
  </si>
  <si>
    <t>ricardo.gelvez@yahoo.com</t>
  </si>
  <si>
    <t>Nataly Guerrero</t>
  </si>
  <si>
    <t>andrea.guerreroca@ucc.edu.co</t>
  </si>
  <si>
    <t>Claudio</t>
  </si>
  <si>
    <t>claudiocerronlandeo@gmail.com</t>
  </si>
  <si>
    <t xml:space="preserve">daniel </t>
  </si>
  <si>
    <t>descobos@gmail.com</t>
  </si>
  <si>
    <t>Juan Castellanos</t>
  </si>
  <si>
    <t>janccastellanos@gmail.com</t>
  </si>
  <si>
    <t>José Fernando Noguera Polania</t>
  </si>
  <si>
    <t>jose840602@gmail.com</t>
  </si>
  <si>
    <t>Esteban Hidalgo</t>
  </si>
  <si>
    <t>estebanhv2020@gmail.com</t>
  </si>
  <si>
    <t>Onel Perez</t>
  </si>
  <si>
    <t>onelperez07@gmail.com</t>
  </si>
  <si>
    <t>Ammy Suárez</t>
  </si>
  <si>
    <t>ammy_sua1998@hotmail.com</t>
  </si>
  <si>
    <t>Cervando Madrid</t>
  </si>
  <si>
    <t>cemadridl@unal.edu.co</t>
  </si>
  <si>
    <t>sandra milena gomez pinzon</t>
  </si>
  <si>
    <t>sandrageotikal@hotmail.com</t>
  </si>
  <si>
    <t>Sara Zabarain 6</t>
  </si>
  <si>
    <t>sarazabarain@gmail.com</t>
  </si>
  <si>
    <t>Valentina De Hoyos Díaz</t>
  </si>
  <si>
    <t>valentina.hoyos1508@gmail.com</t>
  </si>
  <si>
    <t>Doris Madroñero</t>
  </si>
  <si>
    <t>madronerodoris96@gmail.com</t>
  </si>
  <si>
    <t>Emanuel capacho Alzate</t>
  </si>
  <si>
    <t>emancap12@gmail.com</t>
  </si>
  <si>
    <t>Laura Camila Arenas Muñoz</t>
  </si>
  <si>
    <t>camilaarenas10@gmail.com</t>
  </si>
  <si>
    <t>Juan Pablo Velez Saenz</t>
  </si>
  <si>
    <t>juanpablovelezsaenz6@gmail.com</t>
  </si>
  <si>
    <t>DIANA DELGADO</t>
  </si>
  <si>
    <t>dianadelgadoibarra10@gmail.com</t>
  </si>
  <si>
    <t>Sebastian</t>
  </si>
  <si>
    <t>sebisena.30@gmail.com</t>
  </si>
  <si>
    <t>Juan Henao Rendón</t>
  </si>
  <si>
    <t>juanhenaoprogramacion@gmail.com</t>
  </si>
  <si>
    <t>Santiago Gomez</t>
  </si>
  <si>
    <t>santygomez941@gmail.com</t>
  </si>
  <si>
    <t>Astrid Liset Carvajal</t>
  </si>
  <si>
    <t>astridlcarvajal24@gmail.com</t>
  </si>
  <si>
    <t>María Tatiana Cossio posada</t>
  </si>
  <si>
    <t>tatianita-c@hotmail.com</t>
  </si>
  <si>
    <t>serpa25t@gmail.com</t>
  </si>
  <si>
    <t>ELIANA SANTOS ECHAVARRÍA</t>
  </si>
  <si>
    <t>elianasantos04@gmail.com</t>
  </si>
  <si>
    <t>JORGE ARMANDO ASCUNTAR ASCUNTAR</t>
  </si>
  <si>
    <t>ajorgearmando777@gmail.com</t>
  </si>
  <si>
    <t>Juan Pablo Márquez Rodríguez</t>
  </si>
  <si>
    <t>papitomamita1000@gmail.com</t>
  </si>
  <si>
    <t>Laura Camila Vargas Cruz</t>
  </si>
  <si>
    <t>lvargascruz42@gmail.com</t>
  </si>
  <si>
    <t xml:space="preserve">Juan Pablo Guerrero Patiño </t>
  </si>
  <si>
    <t>juangpa624@gmail.com</t>
  </si>
  <si>
    <t>Maria Jose Macias</t>
  </si>
  <si>
    <t>mariajosemaciascano1@gmail.com</t>
  </si>
  <si>
    <t>Martha Isabel Ospina</t>
  </si>
  <si>
    <t>mariana100308@gmail.com</t>
  </si>
  <si>
    <t>Manuel</t>
  </si>
  <si>
    <t>manuel.gonzalez.mmm@gmail.com</t>
  </si>
  <si>
    <t>Laura Fonseca Duque</t>
  </si>
  <si>
    <t>laura.fonseca.duque@gmail.com</t>
  </si>
  <si>
    <t>María Camila Hernández Restrepo</t>
  </si>
  <si>
    <t>nutrimariacamila@gmail.com</t>
  </si>
  <si>
    <t>Camila Beltran</t>
  </si>
  <si>
    <t>mabeltran@unal.edu.co</t>
  </si>
  <si>
    <t>Valentina Gamboa</t>
  </si>
  <si>
    <t>gamboaolayavalentina@gmail.com</t>
  </si>
  <si>
    <t>Leidy Maribel Benavides</t>
  </si>
  <si>
    <t>leidymaribelb97@gmail.com</t>
  </si>
  <si>
    <t>YesikaÑañez</t>
  </si>
  <si>
    <t>yvnanez@unicesmag.edu.co</t>
  </si>
  <si>
    <t>Cristina Santa</t>
  </si>
  <si>
    <t>cristina@aurathinking.com</t>
  </si>
  <si>
    <t>Diana Vitola M</t>
  </si>
  <si>
    <t>diana.vitola10@gmail.com</t>
  </si>
  <si>
    <t>madronerodoris28@gmail.com</t>
  </si>
  <si>
    <t>Tatiana Bustos</t>
  </si>
  <si>
    <t>tatianabustos.01@gmail.com</t>
  </si>
  <si>
    <t>rosalba mendez</t>
  </si>
  <si>
    <t>albamendezh@gmail.com</t>
  </si>
  <si>
    <t>Marcela Henao</t>
  </si>
  <si>
    <t>marcelahenaop@gmail.com</t>
  </si>
  <si>
    <t>Adriana Patricia Rodriguez Castro</t>
  </si>
  <si>
    <t>adrianapatrodcas@hotmail.es</t>
  </si>
  <si>
    <t>Laura Manuela Hernández Garavito</t>
  </si>
  <si>
    <t>lm.hernandezga03@gmail.com</t>
  </si>
  <si>
    <t>Luis Felipe Higuita</t>
  </si>
  <si>
    <t>luis.higuita@campusucc.edu.co</t>
  </si>
  <si>
    <t>CAROLINA AGUILERA</t>
  </si>
  <si>
    <t>misscarolinainicial@gmail.com</t>
  </si>
  <si>
    <t>Yecxi Carolina Perez Estrada</t>
  </si>
  <si>
    <t>ypereze@unal.edu.co</t>
  </si>
  <si>
    <t>Marta Martin Carbonell</t>
  </si>
  <si>
    <t>martha.martinc@campusucc.edu.co</t>
  </si>
  <si>
    <t>Jennifer Cruz Rubio</t>
  </si>
  <si>
    <t>jecru2406@gmail.com</t>
  </si>
  <si>
    <t>Lina Inés Vega Álvarez</t>
  </si>
  <si>
    <t>linavegaster@gmail.com</t>
  </si>
  <si>
    <t>Jersson Paz</t>
  </si>
  <si>
    <t>jerssonchamo1110@gmail.com</t>
  </si>
  <si>
    <t>Leonardo Cardona</t>
  </si>
  <si>
    <t>leodurmiendo@gmail.com</t>
  </si>
  <si>
    <t>Fabiola Aguilar</t>
  </si>
  <si>
    <t>faguilar@udes.edu.co</t>
  </si>
  <si>
    <t>Ruddy</t>
  </si>
  <si>
    <t>ruddybarreto@gmail.com</t>
  </si>
  <si>
    <t>Juan David Munera Osorio</t>
  </si>
  <si>
    <t>juanda770621@gmail.com</t>
  </si>
  <si>
    <t>Cristian David Cifuentes Tinjaca</t>
  </si>
  <si>
    <t>ccifuentest@unal.edu.co</t>
  </si>
  <si>
    <t>Farut Duran</t>
  </si>
  <si>
    <t>farutduran@gmail.com</t>
  </si>
  <si>
    <t>Paola Baldion</t>
  </si>
  <si>
    <t>lamarteatro@gmail.com</t>
  </si>
  <si>
    <t>Jorge Ramírez</t>
  </si>
  <si>
    <t>kikeupn@gmail.com</t>
  </si>
  <si>
    <t>Giovanni Jesus Solorzano Llasa</t>
  </si>
  <si>
    <t>giovanni989306644@gmail.com</t>
  </si>
  <si>
    <t>Ana María Osorio López</t>
  </si>
  <si>
    <t>estadisticas.vi@udea.edu.co</t>
  </si>
  <si>
    <t>Santiago Rosero</t>
  </si>
  <si>
    <t>santipo12@gmail.com</t>
  </si>
  <si>
    <t>Mery Merchan Robayo</t>
  </si>
  <si>
    <t>misionmery@gmail.com</t>
  </si>
  <si>
    <t>Nataly Herrera</t>
  </si>
  <si>
    <t>nherrer.eco@gmail.com</t>
  </si>
  <si>
    <t>Yerli Ortiz</t>
  </si>
  <si>
    <t>yerly12ortiz@gmail.com</t>
  </si>
  <si>
    <t>Rosio Leticia Toloza Perez</t>
  </si>
  <si>
    <t>rltolozap@gmail.com</t>
  </si>
  <si>
    <t>Oscar Restrepo</t>
  </si>
  <si>
    <t>oscarhdej@gmail.com</t>
  </si>
  <si>
    <t>Juan Manuel Bazan</t>
  </si>
  <si>
    <t>bazanjm64@gmail.com</t>
  </si>
  <si>
    <t>andres osorio</t>
  </si>
  <si>
    <t>andresfelipe.best.27@gmail.com</t>
  </si>
  <si>
    <t>Luisa Fernanda Granger Serrano</t>
  </si>
  <si>
    <t>lfgrangers@gmail.com</t>
  </si>
  <si>
    <t>JONATHAN FRANCISCO ARAGON ROJAS</t>
  </si>
  <si>
    <t>jonathanaragonrojas@gmail.com</t>
  </si>
  <si>
    <t>GUSTAVO ADOLFO ATUNCAR ZEVALLOS</t>
  </si>
  <si>
    <t>gustavo.atze@gmail.com</t>
  </si>
  <si>
    <t>Guillermo Carlos Terreros Millan</t>
  </si>
  <si>
    <t>gterreros30@gmail.com</t>
  </si>
  <si>
    <t>Luisa Fernanda Fajardo González</t>
  </si>
  <si>
    <t>lfajardo@ilpla.edu.ar</t>
  </si>
  <si>
    <t>Yeiner Castillo</t>
  </si>
  <si>
    <t>yeinerde18@gmail.com</t>
  </si>
  <si>
    <t>Jorge Farias</t>
  </si>
  <si>
    <t>jfarias573@gmail.com</t>
  </si>
  <si>
    <t>Manuel Alejandro Josa de la Cruz</t>
  </si>
  <si>
    <t>manueljosa@unicauca.edu.co</t>
  </si>
  <si>
    <t>Armando</t>
  </si>
  <si>
    <t>wauqui01@gmail.com</t>
  </si>
  <si>
    <t>Ígor Antônio Roik</t>
  </si>
  <si>
    <t>igorantonioroik@gmail.com</t>
  </si>
  <si>
    <t>Emmanuel Sinuhé Ramos Martínez</t>
  </si>
  <si>
    <t>emmani.ramos@gmail.com</t>
  </si>
  <si>
    <t>Mercedes</t>
  </si>
  <si>
    <t>mercedesvicbustamante@gmail.com</t>
  </si>
  <si>
    <t>Erwin Olvera</t>
  </si>
  <si>
    <t>erwin_olvera@yahoo.com.mx</t>
  </si>
  <si>
    <t>Keli Quintero</t>
  </si>
  <si>
    <t>kyohana02@gmail.com</t>
  </si>
  <si>
    <t>Matías Reinoso</t>
  </si>
  <si>
    <t>matiasreinoso@hotmail.com</t>
  </si>
  <si>
    <t>Victor Torres</t>
  </si>
  <si>
    <t>torresvictor@gmail.com</t>
  </si>
  <si>
    <t>José Alberto Garcia Barrios</t>
  </si>
  <si>
    <t>josegarciab@live.com</t>
  </si>
  <si>
    <t>Osvaldo Carrasco</t>
  </si>
  <si>
    <t>carrascoosvaldo74@gmail.com</t>
  </si>
  <si>
    <t>Vanessa Díaz</t>
  </si>
  <si>
    <t>vanessa.diazmacas@gmail.com</t>
  </si>
  <si>
    <t>ISABEL MILAGROS GAVILAN FIGARI</t>
  </si>
  <si>
    <t>igavilan@itp.gob.pe</t>
  </si>
  <si>
    <t>Mauricio Toro</t>
  </si>
  <si>
    <t>mattagro@gmail.com</t>
  </si>
  <si>
    <t>María Rosa Gamarra</t>
  </si>
  <si>
    <t>mariagamarrac@yahoo.com.ar</t>
  </si>
  <si>
    <t>Cesar Henry Millones Ramos</t>
  </si>
  <si>
    <t>henry.millones@gmail.com</t>
  </si>
  <si>
    <t>Oscar Rodrigo Lanza</t>
  </si>
  <si>
    <t>oscarlanza.despacho24@gmail.com</t>
  </si>
  <si>
    <t>Gonzalo Ivan Acuña</t>
  </si>
  <si>
    <t>ing.gonzaloacuna@gmail.com</t>
  </si>
  <si>
    <t>Dimas Geovanny Vera Pisco</t>
  </si>
  <si>
    <t>dverap@uees.edu.ec</t>
  </si>
  <si>
    <t>Josue Alvarez</t>
  </si>
  <si>
    <t>jalvareztapia1703@gmail.com</t>
  </si>
  <si>
    <t>ecveduardo@gmail.com</t>
  </si>
  <si>
    <t>Luis Junior Sánchez Rosas</t>
  </si>
  <si>
    <t>jusa295@gmail.com</t>
  </si>
  <si>
    <t>Efrain Lujano</t>
  </si>
  <si>
    <t>elujano28@gmail.com</t>
  </si>
  <si>
    <t>miyer arley cortes aguilera</t>
  </si>
  <si>
    <t>miyerarley2017@gmail.com</t>
  </si>
  <si>
    <t>ANGELICA JIMENEZ</t>
  </si>
  <si>
    <t>angelikapikos@gmail.com</t>
  </si>
  <si>
    <t>Oscar Andrés Mendoza González</t>
  </si>
  <si>
    <t>oscarandres01232003@gmail.com</t>
  </si>
  <si>
    <t xml:space="preserve">Daniela Romina Tito Tudela </t>
  </si>
  <si>
    <t>meddanielatudela@gmail.com</t>
  </si>
  <si>
    <t>Erik Agudelo</t>
  </si>
  <si>
    <t>ramirezsebasfox334@gmail.com</t>
  </si>
  <si>
    <t>Paula Corzo</t>
  </si>
  <si>
    <t>paulacorzo28@gmail.com</t>
  </si>
  <si>
    <t>Nancy Giovanna Cocunubo</t>
  </si>
  <si>
    <t>nancy.cocunubo@campusucc.edu.co</t>
  </si>
  <si>
    <t>Jhon Muñoz</t>
  </si>
  <si>
    <t>sans19112001@gmail.com</t>
  </si>
  <si>
    <t>miguel vasquez leyton</t>
  </si>
  <si>
    <t>miguxld.un@gmail.com</t>
  </si>
  <si>
    <t>Christian Travezaño Belisario</t>
  </si>
  <si>
    <t>ctravezanob@gmail.com</t>
  </si>
  <si>
    <t>Juliana Osuna Galán</t>
  </si>
  <si>
    <t>julianagalan026@gmail.com</t>
  </si>
  <si>
    <t xml:space="preserve">Yeri  Avila </t>
  </si>
  <si>
    <t>yeritordecilla@gmail.com</t>
  </si>
  <si>
    <t>Aida Fúquene</t>
  </si>
  <si>
    <t>ingamfm@gmail.com</t>
  </si>
  <si>
    <t>Edwin Alexander Leal Munera</t>
  </si>
  <si>
    <t>edwinleal167@gmail.com</t>
  </si>
  <si>
    <t>Andrea Quirá</t>
  </si>
  <si>
    <t>andreaquirao@gmail.com</t>
  </si>
  <si>
    <t>Carlos</t>
  </si>
  <si>
    <t>cegchinfo@gmail.com</t>
  </si>
  <si>
    <t>Javier García</t>
  </si>
  <si>
    <t>claradevida@gmail.com</t>
  </si>
  <si>
    <t>Camilo</t>
  </si>
  <si>
    <t>jrodriguezdiaz590@gmail.com</t>
  </si>
  <si>
    <t>Alexander Londoño R</t>
  </si>
  <si>
    <t>alexlondono27@gmail.com</t>
  </si>
  <si>
    <t>salseoe@gmail.com</t>
  </si>
  <si>
    <t>HIRAM ALFONSO BARRERA GONZALEZ</t>
  </si>
  <si>
    <t>hibago1982@gmail.com</t>
  </si>
  <si>
    <t>Diana Caicedo</t>
  </si>
  <si>
    <t>dicaiced@gmail.com</t>
  </si>
  <si>
    <t>Nicolas Escudero</t>
  </si>
  <si>
    <t>londonon438@gmail.com</t>
  </si>
  <si>
    <t>Alan Esteban Londoño Escudero</t>
  </si>
  <si>
    <t>alanescudero86@gmail.com</t>
  </si>
  <si>
    <t>Miguel Angel Ramirez</t>
  </si>
  <si>
    <t>angelnacional2010@gmail.com</t>
  </si>
  <si>
    <t>Gener Guíovanni Losada Tafur</t>
  </si>
  <si>
    <t>genguio0712@gmail.com</t>
  </si>
  <si>
    <t>Esteban</t>
  </si>
  <si>
    <t>estudioesteban9@gmail.com</t>
  </si>
  <si>
    <t>Diana Milena Diaz Masmela</t>
  </si>
  <si>
    <t>didiazm@sena.edu.co</t>
  </si>
  <si>
    <t>Fidel Ochoa Jiménez</t>
  </si>
  <si>
    <t>fidelochoajimenez@gmail.com</t>
  </si>
  <si>
    <t>Andrea Gómez Hernández</t>
  </si>
  <si>
    <t>adgomezh@unal.edu.co</t>
  </si>
  <si>
    <t>Dennis Alvarino Cieza Tarrillo</t>
  </si>
  <si>
    <t>daciezat@gmail.com</t>
  </si>
  <si>
    <t>Oscar Enrique Rodriguez Gaona</t>
  </si>
  <si>
    <t>oscarodriguezcol@gmail.com</t>
  </si>
  <si>
    <t>Miguel Velez</t>
  </si>
  <si>
    <t>mavg030608@gmail.com</t>
  </si>
  <si>
    <t>MARIA JOSE PINZON CALDERON</t>
  </si>
  <si>
    <t>maria.pinzonc@iejosemariabravomarquez.edu.co</t>
  </si>
  <si>
    <t>Valeria</t>
  </si>
  <si>
    <t>valeriarestrepo985@gmail.com</t>
  </si>
  <si>
    <t>Santiago Vidales Cardona</t>
  </si>
  <si>
    <t>vidales.santiago@iereinodebelgica.edu.co</t>
  </si>
  <si>
    <t>Dairo Afranio Hincapie Urrea</t>
  </si>
  <si>
    <t>dairohincapie100@gmail.com</t>
  </si>
  <si>
    <t>Daniela Gonzalez</t>
  </si>
  <si>
    <t>danicol2478@gmail.com</t>
  </si>
  <si>
    <t>Jhoan Pascual Boada Florez</t>
  </si>
  <si>
    <t>boada.ingenieros@gmail.com</t>
  </si>
  <si>
    <t>Gleysher omar Mosquera perea</t>
  </si>
  <si>
    <t>gleysher.omar0721@hotmail.com</t>
  </si>
  <si>
    <t>Raúl Sánchez</t>
  </si>
  <si>
    <t>rauldiand@gmail.com</t>
  </si>
  <si>
    <t>Angie Paola Meneses Calderón</t>
  </si>
  <si>
    <t>paolamenesescalderon@gmail.com</t>
  </si>
  <si>
    <t>Laura Alvarez</t>
  </si>
  <si>
    <t>lauracr.alvarezma@ecci.edu.co</t>
  </si>
  <si>
    <t>Alejandro Zapata</t>
  </si>
  <si>
    <t>alejandrozg10@gmail.com</t>
  </si>
  <si>
    <t>Mariangel Usuga</t>
  </si>
  <si>
    <t>mariangel.usugaa@iejosemarianravomarquez.edu.co</t>
  </si>
  <si>
    <t>Andrea Aparicio</t>
  </si>
  <si>
    <t>andreaapaga74@gmail.com</t>
  </si>
  <si>
    <t>Juan Felipe Cardona Correa</t>
  </si>
  <si>
    <t>jcardona904@gmail.com</t>
  </si>
  <si>
    <t>Michel Estefanía</t>
  </si>
  <si>
    <t>micheldurango9@gmail.com</t>
  </si>
  <si>
    <t>JUAN SEBASTIAN HIGUITA AGREDO</t>
  </si>
  <si>
    <t>juan.higuitaa@iejosemariabravomarquez.edu.co</t>
  </si>
  <si>
    <t>Julian uribe</t>
  </si>
  <si>
    <t>merardosena@gmail.com</t>
  </si>
  <si>
    <t>Miguel Rios</t>
  </si>
  <si>
    <t>toki25545@gmail.com</t>
  </si>
  <si>
    <t>diana catalina vasquez rendon</t>
  </si>
  <si>
    <t>catonga9823@gmail.com</t>
  </si>
  <si>
    <t>José Lenin Chavarría Cruz</t>
  </si>
  <si>
    <t>lenin.chavarria.ineter@gmail.com</t>
  </si>
  <si>
    <t>cyeiner761@gmail.com</t>
  </si>
  <si>
    <t>Ana Carolina Alvarez</t>
  </si>
  <si>
    <t>alvarezgonzalezanacarolina@gmail.com</t>
  </si>
  <si>
    <t>Ramiro Rios Sossa</t>
  </si>
  <si>
    <t>riosqf@outlook.com</t>
  </si>
  <si>
    <t>Juan Higuita</t>
  </si>
  <si>
    <t>juan.higuitaa@gmail.com</t>
  </si>
  <si>
    <t>ADRIANA MOLINA</t>
  </si>
  <si>
    <t>adris326@gmail.com</t>
  </si>
  <si>
    <t xml:space="preserve">Luis Salcedo </t>
  </si>
  <si>
    <t>salcedoarroyoluisalberto9@gmail.com</t>
  </si>
  <si>
    <t>Juan Pablo Dueñas M</t>
  </si>
  <si>
    <t>jpduenasm@gmail.com</t>
  </si>
  <si>
    <t>Jennifer Londoño</t>
  </si>
  <si>
    <t>jenniferlondo3@gmail.com</t>
  </si>
  <si>
    <t>Samuel Cataño Cadavid</t>
  </si>
  <si>
    <t>samuelykonsul12@gmail.com</t>
  </si>
  <si>
    <t>Danny Alexander Castro Macias</t>
  </si>
  <si>
    <t>dannyalexandercastromacias@gmail.com</t>
  </si>
  <si>
    <t>Jorge Carvajal</t>
  </si>
  <si>
    <t>docentejorge@gmail.com</t>
  </si>
  <si>
    <t>Walder Fabian Barrera Lopez</t>
  </si>
  <si>
    <t>walderbarreralopez@gmail.com</t>
  </si>
  <si>
    <t>Elizabeth Londono Mora</t>
  </si>
  <si>
    <t>elizalond94@gmail.com</t>
  </si>
  <si>
    <t>Astrid Guzmán</t>
  </si>
  <si>
    <t>as3d.g@hotmail.com</t>
  </si>
  <si>
    <t>Brayan Diaz Roldan</t>
  </si>
  <si>
    <t>roldanb506@gmail.com</t>
  </si>
  <si>
    <t>Yenny Paola Baquero Fernández</t>
  </si>
  <si>
    <t>yenny.baquero.fernandez@unillanos.edu.co</t>
  </si>
  <si>
    <t>Gabriel Andrés Barrera GONZALEZ</t>
  </si>
  <si>
    <t>barreraingeniero@gmail.com</t>
  </si>
  <si>
    <t>Cristhian arroyave mora</t>
  </si>
  <si>
    <t>cristianarroyavevevo@gmail.com</t>
  </si>
  <si>
    <t>Giovanny Bustamante Maldonado</t>
  </si>
  <si>
    <t>instructortic@gmail.com</t>
  </si>
  <si>
    <t>oscar belalcazar</t>
  </si>
  <si>
    <t>oscarbelalcazar58@gmail.com</t>
  </si>
  <si>
    <t>Michel Fernanda Osorio Zapata</t>
  </si>
  <si>
    <t>mifernandaoz3004@gmail.com</t>
  </si>
  <si>
    <t>Brandon Garay</t>
  </si>
  <si>
    <t>braesgame2001@gmail.com</t>
  </si>
  <si>
    <t>Willington Martínez Barreto</t>
  </si>
  <si>
    <t>willymb75@gmail.com</t>
  </si>
  <si>
    <t>Carlos Alberto Aguirre Quintero</t>
  </si>
  <si>
    <t>caguirreq@sena.edu.co</t>
  </si>
  <si>
    <t>MICHAEL STEVEN CASTAÑEDA MENDOZA</t>
  </si>
  <si>
    <t>michael.castaneda@uptc.edu.co</t>
  </si>
  <si>
    <t>Valery Lancheros</t>
  </si>
  <si>
    <t>valelanpo@hotmail.com</t>
  </si>
  <si>
    <t>JOHANA ANDREA VALENCIA AGUIRRE</t>
  </si>
  <si>
    <t>johanaa.valencia@udea.edu.co</t>
  </si>
  <si>
    <t>Fabio Osorio</t>
  </si>
  <si>
    <t>nicosorio93@gmail.com</t>
  </si>
  <si>
    <t xml:space="preserve">Marisol Hortúa </t>
  </si>
  <si>
    <t>marisolhreyes@gmail.com</t>
  </si>
  <si>
    <t>Mariel</t>
  </si>
  <si>
    <t>marielcadrazco@gmail.com</t>
  </si>
  <si>
    <t>Julio César Rivera Rodríguez</t>
  </si>
  <si>
    <t>jcrivera76@gmail.com</t>
  </si>
  <si>
    <t>Juana casti</t>
  </si>
  <si>
    <t>academicojvcm@gmail.com</t>
  </si>
  <si>
    <t>María Paula Pérez Pulido</t>
  </si>
  <si>
    <t>mapaulapp.11@gmail.com</t>
  </si>
  <si>
    <t>Johan</t>
  </si>
  <si>
    <t>jssalgadosa@gmail.com</t>
  </si>
  <si>
    <t>Diana Pabón</t>
  </si>
  <si>
    <t>dcpabonb@gmail.com</t>
  </si>
  <si>
    <t>Blanca Cecilia Ramirez Martinez</t>
  </si>
  <si>
    <t>emprendimientoinemtunal@gmail.com</t>
  </si>
  <si>
    <t>JAIME ROBINSSON VARGAS LOAIZA</t>
  </si>
  <si>
    <t>ingindrob12@gmail.com</t>
  </si>
  <si>
    <t>DEIVIS PAUL PALOMINO CHAVEZ</t>
  </si>
  <si>
    <t>deivispc02@gmail.com</t>
  </si>
  <si>
    <t>Edgardo Leon</t>
  </si>
  <si>
    <t>leonbravo81@gmail.com</t>
  </si>
  <si>
    <t>diana Marcela Roa Baquero</t>
  </si>
  <si>
    <t>dianam.roab@gmail.com</t>
  </si>
  <si>
    <t>Fredy Hualpa Inquilla</t>
  </si>
  <si>
    <t>fred.kaliman@gmail.com</t>
  </si>
  <si>
    <t>Norman Josué García García</t>
  </si>
  <si>
    <t>normam1618@gmail.com</t>
  </si>
  <si>
    <t>Natalia</t>
  </si>
  <si>
    <t>natty.ssr@gmail.com</t>
  </si>
  <si>
    <t>Andrea Zuleta</t>
  </si>
  <si>
    <t>lucellyzuleta.l@gmail.com</t>
  </si>
  <si>
    <t>Ana Maria Valbuena Urueña</t>
  </si>
  <si>
    <t>anamariavalbuena.0701@gmail.com</t>
  </si>
  <si>
    <t>WILMER LEONARDO VELÁSQUEZ VARGAS</t>
  </si>
  <si>
    <t>ingvargasagricola@gmail.com</t>
  </si>
  <si>
    <t xml:space="preserve">Emmanuel </t>
  </si>
  <si>
    <t>emmanuel.tp.2024@gmail.com</t>
  </si>
  <si>
    <t>Vanessa Alexandra Jara Galviz</t>
  </si>
  <si>
    <t>alxjara18@gmail.com</t>
  </si>
  <si>
    <t>Edwin Quintero Alzate</t>
  </si>
  <si>
    <t>egqa1975@gmail.com</t>
  </si>
  <si>
    <t>Lina Avendaño</t>
  </si>
  <si>
    <t>linabenavides97.lb@gmail.com</t>
  </si>
  <si>
    <t>Jorge Enrique Ordóñez García</t>
  </si>
  <si>
    <t>jordonezga@gmail.com</t>
  </si>
  <si>
    <t xml:space="preserve">María Gutiérrez </t>
  </si>
  <si>
    <t>m.a.g.l.669@gmail.com</t>
  </si>
  <si>
    <t>Camilo Barrios Pérez</t>
  </si>
  <si>
    <t>camilobarriosperez@gmail.com</t>
  </si>
  <si>
    <t>Kevin Ugles Arboleda Candelo</t>
  </si>
  <si>
    <t>kuarboleda@gmail.com</t>
  </si>
  <si>
    <t>Adriana RINCÓN</t>
  </si>
  <si>
    <t>adrincongom@gmail.com</t>
  </si>
  <si>
    <t>camsnora@gmail.com</t>
  </si>
  <si>
    <t>Emmanuel Alejandro Carabajal</t>
  </si>
  <si>
    <t>caralejandro12@gmail.com</t>
  </si>
  <si>
    <t>KELLY JOHANA PEDROZA BERRIO</t>
  </si>
  <si>
    <t>johanapedrozab@gmail.com</t>
  </si>
  <si>
    <t>Angela maria Castro</t>
  </si>
  <si>
    <t>angelacasmo@gmail.com</t>
  </si>
  <si>
    <t>Josmar Velasquez</t>
  </si>
  <si>
    <t>josmar.velasquez@gmail.com</t>
  </si>
  <si>
    <t>Joan Sebastian Quintero Londoño</t>
  </si>
  <si>
    <t>josebastianql@gmail.com</t>
  </si>
  <si>
    <t>Gabriel Cornejo</t>
  </si>
  <si>
    <t>gabocuenta82@gmail.com</t>
  </si>
  <si>
    <t>Jhon Castañeda</t>
  </si>
  <si>
    <t>jhonjaingambiental@gmail.com</t>
  </si>
  <si>
    <t>Fernanda castro</t>
  </si>
  <si>
    <t>casmomafe1511@gmail.com</t>
  </si>
  <si>
    <t>Andres</t>
  </si>
  <si>
    <t>andresvera.marketing@gmail.com</t>
  </si>
  <si>
    <t>Ruben Barrios</t>
  </si>
  <si>
    <t>rubendavid1809@gmail.com</t>
  </si>
  <si>
    <t>Trabajo Científico</t>
  </si>
  <si>
    <t>oscarvargas@trabajocientifico.org</t>
  </si>
  <si>
    <t>Kelvin J Cabrera</t>
  </si>
  <si>
    <t>kjrcabrera@gmail.com</t>
  </si>
  <si>
    <t>Nombre</t>
  </si>
  <si>
    <t>Email</t>
  </si>
  <si>
    <t>Ciencia</t>
  </si>
  <si>
    <t>IA</t>
  </si>
  <si>
    <t>Gráficas</t>
  </si>
  <si>
    <t># Cursos</t>
  </si>
  <si>
    <t>Cursos</t>
  </si>
  <si>
    <t>Alejandra</t>
  </si>
  <si>
    <t>Eduardo Victor Garcia Saravia</t>
  </si>
  <si>
    <t>dayana sepulveda</t>
  </si>
  <si>
    <t>Mateo Arian Ludeña Alfaro</t>
  </si>
  <si>
    <t>daniel</t>
  </si>
  <si>
    <t>Juan Pablo Guerrero Patiño</t>
  </si>
  <si>
    <t>Daniela Romina Tito Tudela</t>
  </si>
  <si>
    <t>Yeri  Avila</t>
  </si>
  <si>
    <t>Luis Salcedo</t>
  </si>
  <si>
    <t>Kely Hincapie</t>
  </si>
  <si>
    <t>Marisol Hortúa</t>
  </si>
  <si>
    <t>Emmanuel</t>
  </si>
  <si>
    <t>María Gutiérrez</t>
  </si>
  <si>
    <t>Veronica</t>
  </si>
  <si>
    <t>Resumen</t>
  </si>
  <si>
    <t>Total personas únicas</t>
  </si>
  <si>
    <t>En 1 curso</t>
  </si>
  <si>
    <t>En 2 cursos</t>
  </si>
  <si>
    <t>En los 3 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</si>
</sst>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/>
        <i val="0"/>
      </font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76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2BC7F5-32C9-4EF0-83A4-4844BDC9F26C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fe9d80fa-3737-40b8-9bea-7c4ed3bcab2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2E89-7F73-4061-B3C9-5DFFF8757F38}">
  <dimension ref="A1:J411"/>
  <sheetViews>
    <sheetView tabSelected="1" workbookViewId="0">
      <pane ySplit="1" topLeftCell="A2" activePane="bottomLeft" state="frozen"/>
      <selection pane="bottomLeft" activeCell="K5" sqref="K5"/>
    </sheetView>
  </sheetViews>
  <sheetFormatPr baseColWidth="10" defaultRowHeight="15" x14ac:dyDescent="0.25"/>
  <cols>
    <col min="1" max="1" width="36.140625" bestFit="1" customWidth="1"/>
    <col min="2" max="2" width="49.7109375" bestFit="1" customWidth="1"/>
    <col min="3" max="3" width="7.85546875" style="3" bestFit="1" customWidth="1"/>
    <col min="4" max="4" width="2.7109375" style="3" bestFit="1" customWidth="1"/>
    <col min="5" max="5" width="8.42578125" style="3" bestFit="1" customWidth="1"/>
    <col min="6" max="6" width="8.85546875" style="3" bestFit="1" customWidth="1"/>
    <col min="7" max="7" width="18.85546875" bestFit="1" customWidth="1"/>
    <col min="9" max="9" width="20.7109375" bestFit="1" customWidth="1"/>
    <col min="10" max="10" width="4" bestFit="1" customWidth="1"/>
  </cols>
  <sheetData>
    <row r="1" spans="1:10" x14ac:dyDescent="0.25">
      <c r="A1" s="1" t="s">
        <v>814</v>
      </c>
      <c r="B1" s="1" t="s">
        <v>815</v>
      </c>
      <c r="C1" s="2" t="s">
        <v>816</v>
      </c>
      <c r="D1" s="2" t="s">
        <v>817</v>
      </c>
      <c r="E1" s="2" t="s">
        <v>818</v>
      </c>
      <c r="F1" s="2" t="s">
        <v>819</v>
      </c>
      <c r="G1" s="1" t="s">
        <v>820</v>
      </c>
      <c r="I1" s="2" t="s">
        <v>835</v>
      </c>
    </row>
    <row r="2" spans="1:10" x14ac:dyDescent="0.25">
      <c r="A2" t="s">
        <v>332</v>
      </c>
      <c r="B2" t="s">
        <v>333</v>
      </c>
      <c r="C2" s="3" t="str">
        <f>IF(COUNTIF(ciencia!$B:$B,$B2)&gt;0,"Sí","")</f>
        <v>Sí</v>
      </c>
      <c r="D2" s="3" t="str">
        <f>IF(COUNTIF(ia!$B:$B,$B2)&gt;0,"Sí","")</f>
        <v/>
      </c>
      <c r="E2" s="3" t="str">
        <f>IF(COUNTIF(graficas!$B:$B,$B2)&gt;0,"Sí","")</f>
        <v/>
      </c>
      <c r="F2" s="3">
        <f>COUNTIF(C2:E2,"Sí")</f>
        <v>1</v>
      </c>
      <c r="G2" t="str">
        <f>_xlfn.TEXTJOIN(", ",TRUE,IF(C2="Sí","Ciencia",""),IF(D2="Sí","IA",""),IF(E2="Sí","Gráficas",""))</f>
        <v>Ciencia</v>
      </c>
      <c r="I2" t="s">
        <v>836</v>
      </c>
      <c r="J2">
        <f>COUNTA($B$2:$B$411)</f>
        <v>410</v>
      </c>
    </row>
    <row r="3" spans="1:10" x14ac:dyDescent="0.25">
      <c r="A3" t="s">
        <v>334</v>
      </c>
      <c r="B3" t="s">
        <v>334</v>
      </c>
      <c r="C3" s="3" t="str">
        <f>IF(COUNTIF(ciencia!$B:$B,$B3)&gt;0,"Sí","")</f>
        <v>Sí</v>
      </c>
      <c r="D3" s="3" t="str">
        <f>IF(COUNTIF(ia!$B:$B,$B3)&gt;0,"Sí","")</f>
        <v/>
      </c>
      <c r="E3" s="3" t="str">
        <f>IF(COUNTIF(graficas!$B:$B,$B3)&gt;0,"Sí","")</f>
        <v/>
      </c>
      <c r="F3" s="3">
        <f t="shared" ref="F3:F66" si="0">COUNTIF(C3:E3,"Sí")</f>
        <v>1</v>
      </c>
      <c r="G3" t="str">
        <f t="shared" ref="G3:G66" si="1">_xlfn.TEXTJOIN(", ",TRUE,IF(C3="Sí","Ciencia",""),IF(D3="Sí","IA",""),IF(E3="Sí","Gráficas",""))</f>
        <v>Ciencia</v>
      </c>
      <c r="I3" t="s">
        <v>837</v>
      </c>
      <c r="J3">
        <f>COUNTIF($F$2:$F$411,1)</f>
        <v>350</v>
      </c>
    </row>
    <row r="4" spans="1:10" x14ac:dyDescent="0.25">
      <c r="A4" t="s">
        <v>821</v>
      </c>
      <c r="B4" t="s">
        <v>336</v>
      </c>
      <c r="C4" s="3" t="str">
        <f>IF(COUNTIF(ciencia!$B:$B,$B4)&gt;0,"Sí","")</f>
        <v>Sí</v>
      </c>
      <c r="D4" s="3" t="str">
        <f>IF(COUNTIF(ia!$B:$B,$B4)&gt;0,"Sí","")</f>
        <v/>
      </c>
      <c r="E4" s="3" t="str">
        <f>IF(COUNTIF(graficas!$B:$B,$B4)&gt;0,"Sí","")</f>
        <v/>
      </c>
      <c r="F4" s="3">
        <f t="shared" si="0"/>
        <v>1</v>
      </c>
      <c r="G4" t="str">
        <f t="shared" si="1"/>
        <v>Ciencia</v>
      </c>
      <c r="I4" t="s">
        <v>838</v>
      </c>
      <c r="J4">
        <f>COUNTIF($F$2:$F$411,2)</f>
        <v>54</v>
      </c>
    </row>
    <row r="5" spans="1:10" x14ac:dyDescent="0.25">
      <c r="A5" t="s">
        <v>190</v>
      </c>
      <c r="B5" t="s">
        <v>191</v>
      </c>
      <c r="C5" s="3" t="str">
        <f>IF(COUNTIF(ciencia!$B:$B,$B5)&gt;0,"Sí","")</f>
        <v>Sí</v>
      </c>
      <c r="D5" s="3" t="str">
        <f>IF(COUNTIF(ia!$B:$B,$B5)&gt;0,"Sí","")</f>
        <v>Sí</v>
      </c>
      <c r="E5" s="3" t="str">
        <f>IF(COUNTIF(graficas!$B:$B,$B5)&gt;0,"Sí","")</f>
        <v/>
      </c>
      <c r="F5" s="3">
        <f t="shared" si="0"/>
        <v>2</v>
      </c>
      <c r="G5" t="str">
        <f t="shared" si="1"/>
        <v>Ciencia, IA</v>
      </c>
      <c r="I5" t="s">
        <v>839</v>
      </c>
      <c r="J5">
        <f>COUNTIF($F$2:$F$411,3)</f>
        <v>6</v>
      </c>
    </row>
    <row r="6" spans="1:10" x14ac:dyDescent="0.25">
      <c r="A6" t="s">
        <v>337</v>
      </c>
      <c r="B6" t="s">
        <v>338</v>
      </c>
      <c r="C6" s="3" t="str">
        <f>IF(COUNTIF(ciencia!$B:$B,$B6)&gt;0,"Sí","")</f>
        <v>Sí</v>
      </c>
      <c r="D6" s="3" t="str">
        <f>IF(COUNTIF(ia!$B:$B,$B6)&gt;0,"Sí","")</f>
        <v/>
      </c>
      <c r="E6" s="3" t="str">
        <f>IF(COUNTIF(graficas!$B:$B,$B6)&gt;0,"Sí","")</f>
        <v/>
      </c>
      <c r="F6" s="3">
        <f t="shared" si="0"/>
        <v>1</v>
      </c>
      <c r="G6" t="str">
        <f t="shared" si="1"/>
        <v>Ciencia</v>
      </c>
    </row>
    <row r="7" spans="1:10" x14ac:dyDescent="0.25">
      <c r="A7" t="s">
        <v>822</v>
      </c>
      <c r="B7" t="s">
        <v>340</v>
      </c>
      <c r="C7" s="3" t="str">
        <f>IF(COUNTIF(ciencia!$B:$B,$B7)&gt;0,"Sí","")</f>
        <v>Sí</v>
      </c>
      <c r="D7" s="3" t="str">
        <f>IF(COUNTIF(ia!$B:$B,$B7)&gt;0,"Sí","")</f>
        <v/>
      </c>
      <c r="E7" s="3" t="str">
        <f>IF(COUNTIF(graficas!$B:$B,$B7)&gt;0,"Sí","")</f>
        <v/>
      </c>
      <c r="F7" s="3">
        <f t="shared" si="0"/>
        <v>1</v>
      </c>
      <c r="G7" t="str">
        <f t="shared" si="1"/>
        <v>Ciencia</v>
      </c>
    </row>
    <row r="8" spans="1:10" x14ac:dyDescent="0.25">
      <c r="A8" t="s">
        <v>206</v>
      </c>
      <c r="B8" t="s">
        <v>207</v>
      </c>
      <c r="C8" s="3" t="str">
        <f>IF(COUNTIF(ciencia!$B:$B,$B8)&gt;0,"Sí","")</f>
        <v>Sí</v>
      </c>
      <c r="D8" s="3" t="str">
        <f>IF(COUNTIF(ia!$B:$B,$B8)&gt;0,"Sí","")</f>
        <v>Sí</v>
      </c>
      <c r="E8" s="3" t="str">
        <f>IF(COUNTIF(graficas!$B:$B,$B8)&gt;0,"Sí","")</f>
        <v/>
      </c>
      <c r="F8" s="3">
        <f t="shared" si="0"/>
        <v>2</v>
      </c>
      <c r="G8" t="str">
        <f t="shared" si="1"/>
        <v>Ciencia, IA</v>
      </c>
    </row>
    <row r="9" spans="1:10" x14ac:dyDescent="0.25">
      <c r="A9" t="s">
        <v>220</v>
      </c>
      <c r="B9" t="s">
        <v>221</v>
      </c>
      <c r="C9" s="3" t="str">
        <f>IF(COUNTIF(ciencia!$B:$B,$B9)&gt;0,"Sí","")</f>
        <v>Sí</v>
      </c>
      <c r="D9" s="3" t="str">
        <f>IF(COUNTIF(ia!$B:$B,$B9)&gt;0,"Sí","")</f>
        <v>Sí</v>
      </c>
      <c r="E9" s="3" t="str">
        <f>IF(COUNTIF(graficas!$B:$B,$B9)&gt;0,"Sí","")</f>
        <v/>
      </c>
      <c r="F9" s="3">
        <f t="shared" si="0"/>
        <v>2</v>
      </c>
      <c r="G9" t="str">
        <f t="shared" si="1"/>
        <v>Ciencia, IA</v>
      </c>
    </row>
    <row r="10" spans="1:10" x14ac:dyDescent="0.25">
      <c r="A10" t="s">
        <v>341</v>
      </c>
      <c r="B10" t="s">
        <v>342</v>
      </c>
      <c r="C10" s="3" t="str">
        <f>IF(COUNTIF(ciencia!$B:$B,$B10)&gt;0,"Sí","")</f>
        <v>Sí</v>
      </c>
      <c r="D10" s="3" t="str">
        <f>IF(COUNTIF(ia!$B:$B,$B10)&gt;0,"Sí","")</f>
        <v/>
      </c>
      <c r="E10" s="3" t="str">
        <f>IF(COUNTIF(graficas!$B:$B,$B10)&gt;0,"Sí","")</f>
        <v/>
      </c>
      <c r="F10" s="3">
        <f t="shared" si="0"/>
        <v>1</v>
      </c>
      <c r="G10" t="str">
        <f t="shared" si="1"/>
        <v>Ciencia</v>
      </c>
    </row>
    <row r="11" spans="1:10" x14ac:dyDescent="0.25">
      <c r="A11" t="s">
        <v>823</v>
      </c>
      <c r="B11" t="s">
        <v>344</v>
      </c>
      <c r="C11" s="3" t="str">
        <f>IF(COUNTIF(ciencia!$B:$B,$B11)&gt;0,"Sí","")</f>
        <v>Sí</v>
      </c>
      <c r="D11" s="3" t="str">
        <f>IF(COUNTIF(ia!$B:$B,$B11)&gt;0,"Sí","")</f>
        <v/>
      </c>
      <c r="E11" s="3" t="str">
        <f>IF(COUNTIF(graficas!$B:$B,$B11)&gt;0,"Sí","")</f>
        <v/>
      </c>
      <c r="F11" s="3">
        <f t="shared" si="0"/>
        <v>1</v>
      </c>
      <c r="G11" t="str">
        <f t="shared" si="1"/>
        <v>Ciencia</v>
      </c>
    </row>
    <row r="12" spans="1:10" x14ac:dyDescent="0.25">
      <c r="A12" t="s">
        <v>345</v>
      </c>
      <c r="B12" t="s">
        <v>346</v>
      </c>
      <c r="C12" s="3" t="str">
        <f>IF(COUNTIF(ciencia!$B:$B,$B12)&gt;0,"Sí","")</f>
        <v>Sí</v>
      </c>
      <c r="D12" s="3" t="str">
        <f>IF(COUNTIF(ia!$B:$B,$B12)&gt;0,"Sí","")</f>
        <v/>
      </c>
      <c r="E12" s="3" t="str">
        <f>IF(COUNTIF(graficas!$B:$B,$B12)&gt;0,"Sí","")</f>
        <v/>
      </c>
      <c r="F12" s="3">
        <f t="shared" si="0"/>
        <v>1</v>
      </c>
      <c r="G12" t="str">
        <f t="shared" si="1"/>
        <v>Ciencia</v>
      </c>
    </row>
    <row r="13" spans="1:10" x14ac:dyDescent="0.25">
      <c r="A13" t="s">
        <v>347</v>
      </c>
      <c r="B13" t="s">
        <v>348</v>
      </c>
      <c r="C13" s="3" t="str">
        <f>IF(COUNTIF(ciencia!$B:$B,$B13)&gt;0,"Sí","")</f>
        <v>Sí</v>
      </c>
      <c r="D13" s="3" t="str">
        <f>IF(COUNTIF(ia!$B:$B,$B13)&gt;0,"Sí","")</f>
        <v/>
      </c>
      <c r="E13" s="3" t="str">
        <f>IF(COUNTIF(graficas!$B:$B,$B13)&gt;0,"Sí","")</f>
        <v/>
      </c>
      <c r="F13" s="3">
        <f t="shared" si="0"/>
        <v>1</v>
      </c>
      <c r="G13" t="str">
        <f t="shared" si="1"/>
        <v>Ciencia</v>
      </c>
    </row>
    <row r="14" spans="1:10" x14ac:dyDescent="0.25">
      <c r="A14" t="s">
        <v>349</v>
      </c>
      <c r="B14" t="s">
        <v>350</v>
      </c>
      <c r="C14" s="3" t="str">
        <f>IF(COUNTIF(ciencia!$B:$B,$B14)&gt;0,"Sí","")</f>
        <v>Sí</v>
      </c>
      <c r="D14" s="3" t="str">
        <f>IF(COUNTIF(ia!$B:$B,$B14)&gt;0,"Sí","")</f>
        <v/>
      </c>
      <c r="E14" s="3" t="str">
        <f>IF(COUNTIF(graficas!$B:$B,$B14)&gt;0,"Sí","")</f>
        <v/>
      </c>
      <c r="F14" s="3">
        <f t="shared" si="0"/>
        <v>1</v>
      </c>
      <c r="G14" t="str">
        <f t="shared" si="1"/>
        <v>Ciencia</v>
      </c>
    </row>
    <row r="15" spans="1:10" x14ac:dyDescent="0.25">
      <c r="A15" t="s">
        <v>351</v>
      </c>
      <c r="B15" t="s">
        <v>352</v>
      </c>
      <c r="C15" s="3" t="str">
        <f>IF(COUNTIF(ciencia!$B:$B,$B15)&gt;0,"Sí","")</f>
        <v>Sí</v>
      </c>
      <c r="D15" s="3" t="str">
        <f>IF(COUNTIF(ia!$B:$B,$B15)&gt;0,"Sí","")</f>
        <v/>
      </c>
      <c r="E15" s="3" t="str">
        <f>IF(COUNTIF(graficas!$B:$B,$B15)&gt;0,"Sí","")</f>
        <v/>
      </c>
      <c r="F15" s="3">
        <f t="shared" si="0"/>
        <v>1</v>
      </c>
      <c r="G15" t="str">
        <f t="shared" si="1"/>
        <v>Ciencia</v>
      </c>
    </row>
    <row r="16" spans="1:10" x14ac:dyDescent="0.25">
      <c r="A16" t="s">
        <v>353</v>
      </c>
      <c r="B16" t="s">
        <v>354</v>
      </c>
      <c r="C16" s="3" t="str">
        <f>IF(COUNTIF(ciencia!$B:$B,$B16)&gt;0,"Sí","")</f>
        <v>Sí</v>
      </c>
      <c r="D16" s="3" t="str">
        <f>IF(COUNTIF(ia!$B:$B,$B16)&gt;0,"Sí","")</f>
        <v/>
      </c>
      <c r="E16" s="3" t="str">
        <f>IF(COUNTIF(graficas!$B:$B,$B16)&gt;0,"Sí","")</f>
        <v/>
      </c>
      <c r="F16" s="3">
        <f t="shared" si="0"/>
        <v>1</v>
      </c>
      <c r="G16" t="str">
        <f t="shared" si="1"/>
        <v>Ciencia</v>
      </c>
    </row>
    <row r="17" spans="1:7" x14ac:dyDescent="0.25">
      <c r="A17" t="s">
        <v>355</v>
      </c>
      <c r="B17" t="s">
        <v>356</v>
      </c>
      <c r="C17" s="3" t="str">
        <f>IF(COUNTIF(ciencia!$B:$B,$B17)&gt;0,"Sí","")</f>
        <v>Sí</v>
      </c>
      <c r="D17" s="3" t="str">
        <f>IF(COUNTIF(ia!$B:$B,$B17)&gt;0,"Sí","")</f>
        <v/>
      </c>
      <c r="E17" s="3" t="str">
        <f>IF(COUNTIF(graficas!$B:$B,$B17)&gt;0,"Sí","")</f>
        <v/>
      </c>
      <c r="F17" s="3">
        <f t="shared" si="0"/>
        <v>1</v>
      </c>
      <c r="G17" t="str">
        <f t="shared" si="1"/>
        <v>Ciencia</v>
      </c>
    </row>
    <row r="18" spans="1:7" x14ac:dyDescent="0.25">
      <c r="A18" t="s">
        <v>357</v>
      </c>
      <c r="B18" t="s">
        <v>358</v>
      </c>
      <c r="C18" s="3" t="str">
        <f>IF(COUNTIF(ciencia!$B:$B,$B18)&gt;0,"Sí","")</f>
        <v>Sí</v>
      </c>
      <c r="D18" s="3" t="str">
        <f>IF(COUNTIF(ia!$B:$B,$B18)&gt;0,"Sí","")</f>
        <v/>
      </c>
      <c r="E18" s="3" t="str">
        <f>IF(COUNTIF(graficas!$B:$B,$B18)&gt;0,"Sí","")</f>
        <v/>
      </c>
      <c r="F18" s="3">
        <f t="shared" si="0"/>
        <v>1</v>
      </c>
      <c r="G18" t="str">
        <f t="shared" si="1"/>
        <v>Ciencia</v>
      </c>
    </row>
    <row r="19" spans="1:7" x14ac:dyDescent="0.25">
      <c r="A19" t="s">
        <v>36</v>
      </c>
      <c r="B19" t="s">
        <v>37</v>
      </c>
      <c r="C19" s="3" t="str">
        <f>IF(COUNTIF(ciencia!$B:$B,$B19)&gt;0,"Sí","")</f>
        <v>Sí</v>
      </c>
      <c r="D19" s="3" t="str">
        <f>IF(COUNTIF(ia!$B:$B,$B19)&gt;0,"Sí","")</f>
        <v/>
      </c>
      <c r="E19" s="3" t="str">
        <f>IF(COUNTIF(graficas!$B:$B,$B19)&gt;0,"Sí","")</f>
        <v>Sí</v>
      </c>
      <c r="F19" s="3">
        <f t="shared" si="0"/>
        <v>2</v>
      </c>
      <c r="G19" t="str">
        <f t="shared" si="1"/>
        <v>Ciencia, Gráficas</v>
      </c>
    </row>
    <row r="20" spans="1:7" x14ac:dyDescent="0.25">
      <c r="A20" t="s">
        <v>824</v>
      </c>
      <c r="B20" t="s">
        <v>360</v>
      </c>
      <c r="C20" s="3" t="str">
        <f>IF(COUNTIF(ciencia!$B:$B,$B20)&gt;0,"Sí","")</f>
        <v>Sí</v>
      </c>
      <c r="D20" s="3" t="str">
        <f>IF(COUNTIF(ia!$B:$B,$B20)&gt;0,"Sí","")</f>
        <v/>
      </c>
      <c r="E20" s="3" t="str">
        <f>IF(COUNTIF(graficas!$B:$B,$B20)&gt;0,"Sí","")</f>
        <v/>
      </c>
      <c r="F20" s="3">
        <f t="shared" si="0"/>
        <v>1</v>
      </c>
      <c r="G20" t="str">
        <f t="shared" si="1"/>
        <v>Ciencia</v>
      </c>
    </row>
    <row r="21" spans="1:7" x14ac:dyDescent="0.25">
      <c r="A21" t="s">
        <v>361</v>
      </c>
      <c r="B21" t="s">
        <v>362</v>
      </c>
      <c r="C21" s="3" t="str">
        <f>IF(COUNTIF(ciencia!$B:$B,$B21)&gt;0,"Sí","")</f>
        <v>Sí</v>
      </c>
      <c r="D21" s="3" t="str">
        <f>IF(COUNTIF(ia!$B:$B,$B21)&gt;0,"Sí","")</f>
        <v/>
      </c>
      <c r="E21" s="3" t="str">
        <f>IF(COUNTIF(graficas!$B:$B,$B21)&gt;0,"Sí","")</f>
        <v/>
      </c>
      <c r="F21" s="3">
        <f t="shared" si="0"/>
        <v>1</v>
      </c>
      <c r="G21" t="str">
        <f t="shared" si="1"/>
        <v>Ciencia</v>
      </c>
    </row>
    <row r="22" spans="1:7" x14ac:dyDescent="0.25">
      <c r="A22" t="s">
        <v>363</v>
      </c>
      <c r="B22" t="s">
        <v>364</v>
      </c>
      <c r="C22" s="3" t="str">
        <f>IF(COUNTIF(ciencia!$B:$B,$B22)&gt;0,"Sí","")</f>
        <v>Sí</v>
      </c>
      <c r="D22" s="3" t="str">
        <f>IF(COUNTIF(ia!$B:$B,$B22)&gt;0,"Sí","")</f>
        <v/>
      </c>
      <c r="E22" s="3" t="str">
        <f>IF(COUNTIF(graficas!$B:$B,$B22)&gt;0,"Sí","")</f>
        <v/>
      </c>
      <c r="F22" s="3">
        <f t="shared" si="0"/>
        <v>1</v>
      </c>
      <c r="G22" t="str">
        <f t="shared" si="1"/>
        <v>Ciencia</v>
      </c>
    </row>
    <row r="23" spans="1:7" x14ac:dyDescent="0.25">
      <c r="A23" t="s">
        <v>365</v>
      </c>
      <c r="B23" t="s">
        <v>366</v>
      </c>
      <c r="C23" s="3" t="str">
        <f>IF(COUNTIF(ciencia!$B:$B,$B23)&gt;0,"Sí","")</f>
        <v>Sí</v>
      </c>
      <c r="D23" s="3" t="str">
        <f>IF(COUNTIF(ia!$B:$B,$B23)&gt;0,"Sí","")</f>
        <v/>
      </c>
      <c r="E23" s="3" t="str">
        <f>IF(COUNTIF(graficas!$B:$B,$B23)&gt;0,"Sí","")</f>
        <v/>
      </c>
      <c r="F23" s="3">
        <f t="shared" si="0"/>
        <v>1</v>
      </c>
      <c r="G23" t="str">
        <f t="shared" si="1"/>
        <v>Ciencia</v>
      </c>
    </row>
    <row r="24" spans="1:7" x14ac:dyDescent="0.25">
      <c r="A24" t="s">
        <v>367</v>
      </c>
      <c r="B24" t="s">
        <v>368</v>
      </c>
      <c r="C24" s="3" t="str">
        <f>IF(COUNTIF(ciencia!$B:$B,$B24)&gt;0,"Sí","")</f>
        <v>Sí</v>
      </c>
      <c r="D24" s="3" t="str">
        <f>IF(COUNTIF(ia!$B:$B,$B24)&gt;0,"Sí","")</f>
        <v/>
      </c>
      <c r="E24" s="3" t="str">
        <f>IF(COUNTIF(graficas!$B:$B,$B24)&gt;0,"Sí","")</f>
        <v/>
      </c>
      <c r="F24" s="3">
        <f t="shared" si="0"/>
        <v>1</v>
      </c>
      <c r="G24" t="str">
        <f t="shared" si="1"/>
        <v>Ciencia</v>
      </c>
    </row>
    <row r="25" spans="1:7" x14ac:dyDescent="0.25">
      <c r="A25" t="s">
        <v>369</v>
      </c>
      <c r="B25" t="s">
        <v>370</v>
      </c>
      <c r="C25" s="3" t="str">
        <f>IF(COUNTIF(ciencia!$B:$B,$B25)&gt;0,"Sí","")</f>
        <v>Sí</v>
      </c>
      <c r="D25" s="3" t="str">
        <f>IF(COUNTIF(ia!$B:$B,$B25)&gt;0,"Sí","")</f>
        <v/>
      </c>
      <c r="E25" s="3" t="str">
        <f>IF(COUNTIF(graficas!$B:$B,$B25)&gt;0,"Sí","")</f>
        <v/>
      </c>
      <c r="F25" s="3">
        <f t="shared" si="0"/>
        <v>1</v>
      </c>
      <c r="G25" t="str">
        <f t="shared" si="1"/>
        <v>Ciencia</v>
      </c>
    </row>
    <row r="26" spans="1:7" x14ac:dyDescent="0.25">
      <c r="A26" t="s">
        <v>371</v>
      </c>
      <c r="B26" t="s">
        <v>372</v>
      </c>
      <c r="C26" s="3" t="str">
        <f>IF(COUNTIF(ciencia!$B:$B,$B26)&gt;0,"Sí","")</f>
        <v>Sí</v>
      </c>
      <c r="D26" s="3" t="str">
        <f>IF(COUNTIF(ia!$B:$B,$B26)&gt;0,"Sí","")</f>
        <v/>
      </c>
      <c r="E26" s="3" t="str">
        <f>IF(COUNTIF(graficas!$B:$B,$B26)&gt;0,"Sí","")</f>
        <v/>
      </c>
      <c r="F26" s="3">
        <f t="shared" si="0"/>
        <v>1</v>
      </c>
      <c r="G26" t="str">
        <f t="shared" si="1"/>
        <v>Ciencia</v>
      </c>
    </row>
    <row r="27" spans="1:7" x14ac:dyDescent="0.25">
      <c r="A27" t="s">
        <v>373</v>
      </c>
      <c r="B27" t="s">
        <v>374</v>
      </c>
      <c r="C27" s="3" t="str">
        <f>IF(COUNTIF(ciencia!$B:$B,$B27)&gt;0,"Sí","")</f>
        <v>Sí</v>
      </c>
      <c r="D27" s="3" t="str">
        <f>IF(COUNTIF(ia!$B:$B,$B27)&gt;0,"Sí","")</f>
        <v/>
      </c>
      <c r="E27" s="3" t="str">
        <f>IF(COUNTIF(graficas!$B:$B,$B27)&gt;0,"Sí","")</f>
        <v/>
      </c>
      <c r="F27" s="3">
        <f t="shared" si="0"/>
        <v>1</v>
      </c>
      <c r="G27" t="str">
        <f t="shared" si="1"/>
        <v>Ciencia</v>
      </c>
    </row>
    <row r="28" spans="1:7" x14ac:dyDescent="0.25">
      <c r="A28" t="s">
        <v>361</v>
      </c>
      <c r="B28" t="s">
        <v>375</v>
      </c>
      <c r="C28" s="3" t="str">
        <f>IF(COUNTIF(ciencia!$B:$B,$B28)&gt;0,"Sí","")</f>
        <v>Sí</v>
      </c>
      <c r="D28" s="3" t="str">
        <f>IF(COUNTIF(ia!$B:$B,$B28)&gt;0,"Sí","")</f>
        <v/>
      </c>
      <c r="E28" s="3" t="str">
        <f>IF(COUNTIF(graficas!$B:$B,$B28)&gt;0,"Sí","")</f>
        <v/>
      </c>
      <c r="F28" s="3">
        <f t="shared" si="0"/>
        <v>1</v>
      </c>
      <c r="G28" t="str">
        <f t="shared" si="1"/>
        <v>Ciencia</v>
      </c>
    </row>
    <row r="29" spans="1:7" x14ac:dyDescent="0.25">
      <c r="A29" t="s">
        <v>376</v>
      </c>
      <c r="B29" t="s">
        <v>377</v>
      </c>
      <c r="C29" s="3" t="str">
        <f>IF(COUNTIF(ciencia!$B:$B,$B29)&gt;0,"Sí","")</f>
        <v>Sí</v>
      </c>
      <c r="D29" s="3" t="str">
        <f>IF(COUNTIF(ia!$B:$B,$B29)&gt;0,"Sí","")</f>
        <v/>
      </c>
      <c r="E29" s="3" t="str">
        <f>IF(COUNTIF(graficas!$B:$B,$B29)&gt;0,"Sí","")</f>
        <v/>
      </c>
      <c r="F29" s="3">
        <f t="shared" si="0"/>
        <v>1</v>
      </c>
      <c r="G29" t="str">
        <f t="shared" si="1"/>
        <v>Ciencia</v>
      </c>
    </row>
    <row r="30" spans="1:7" x14ac:dyDescent="0.25">
      <c r="A30" t="s">
        <v>378</v>
      </c>
      <c r="B30" t="s">
        <v>379</v>
      </c>
      <c r="C30" s="3" t="str">
        <f>IF(COUNTIF(ciencia!$B:$B,$B30)&gt;0,"Sí","")</f>
        <v>Sí</v>
      </c>
      <c r="D30" s="3" t="str">
        <f>IF(COUNTIF(ia!$B:$B,$B30)&gt;0,"Sí","")</f>
        <v/>
      </c>
      <c r="E30" s="3" t="str">
        <f>IF(COUNTIF(graficas!$B:$B,$B30)&gt;0,"Sí","")</f>
        <v/>
      </c>
      <c r="F30" s="3">
        <f t="shared" si="0"/>
        <v>1</v>
      </c>
      <c r="G30" t="str">
        <f t="shared" si="1"/>
        <v>Ciencia</v>
      </c>
    </row>
    <row r="31" spans="1:7" x14ac:dyDescent="0.25">
      <c r="A31" t="s">
        <v>380</v>
      </c>
      <c r="B31" t="s">
        <v>381</v>
      </c>
      <c r="C31" s="3" t="str">
        <f>IF(COUNTIF(ciencia!$B:$B,$B31)&gt;0,"Sí","")</f>
        <v>Sí</v>
      </c>
      <c r="D31" s="3" t="str">
        <f>IF(COUNTIF(ia!$B:$B,$B31)&gt;0,"Sí","")</f>
        <v/>
      </c>
      <c r="E31" s="3" t="str">
        <f>IF(COUNTIF(graficas!$B:$B,$B31)&gt;0,"Sí","")</f>
        <v/>
      </c>
      <c r="F31" s="3">
        <f t="shared" si="0"/>
        <v>1</v>
      </c>
      <c r="G31" t="str">
        <f t="shared" si="1"/>
        <v>Ciencia</v>
      </c>
    </row>
    <row r="32" spans="1:7" x14ac:dyDescent="0.25">
      <c r="A32" t="s">
        <v>258</v>
      </c>
      <c r="B32" t="s">
        <v>259</v>
      </c>
      <c r="C32" s="3" t="str">
        <f>IF(COUNTIF(ciencia!$B:$B,$B32)&gt;0,"Sí","")</f>
        <v>Sí</v>
      </c>
      <c r="D32" s="3" t="str">
        <f>IF(COUNTIF(ia!$B:$B,$B32)&gt;0,"Sí","")</f>
        <v>Sí</v>
      </c>
      <c r="E32" s="3" t="str">
        <f>IF(COUNTIF(graficas!$B:$B,$B32)&gt;0,"Sí","")</f>
        <v/>
      </c>
      <c r="F32" s="3">
        <f t="shared" si="0"/>
        <v>2</v>
      </c>
      <c r="G32" t="str">
        <f t="shared" si="1"/>
        <v>Ciencia, IA</v>
      </c>
    </row>
    <row r="33" spans="1:7" x14ac:dyDescent="0.25">
      <c r="A33" t="s">
        <v>825</v>
      </c>
      <c r="B33" t="s">
        <v>383</v>
      </c>
      <c r="C33" s="3" t="str">
        <f>IF(COUNTIF(ciencia!$B:$B,$B33)&gt;0,"Sí","")</f>
        <v>Sí</v>
      </c>
      <c r="D33" s="3" t="str">
        <f>IF(COUNTIF(ia!$B:$B,$B33)&gt;0,"Sí","")</f>
        <v/>
      </c>
      <c r="E33" s="3" t="str">
        <f>IF(COUNTIF(graficas!$B:$B,$B33)&gt;0,"Sí","")</f>
        <v/>
      </c>
      <c r="F33" s="3">
        <f t="shared" si="0"/>
        <v>1</v>
      </c>
      <c r="G33" t="str">
        <f t="shared" si="1"/>
        <v>Ciencia</v>
      </c>
    </row>
    <row r="34" spans="1:7" x14ac:dyDescent="0.25">
      <c r="A34" t="s">
        <v>384</v>
      </c>
      <c r="B34" t="s">
        <v>385</v>
      </c>
      <c r="C34" s="3" t="str">
        <f>IF(COUNTIF(ciencia!$B:$B,$B34)&gt;0,"Sí","")</f>
        <v>Sí</v>
      </c>
      <c r="D34" s="3" t="str">
        <f>IF(COUNTIF(ia!$B:$B,$B34)&gt;0,"Sí","")</f>
        <v/>
      </c>
      <c r="E34" s="3" t="str">
        <f>IF(COUNTIF(graficas!$B:$B,$B34)&gt;0,"Sí","")</f>
        <v/>
      </c>
      <c r="F34" s="3">
        <f t="shared" si="0"/>
        <v>1</v>
      </c>
      <c r="G34" t="str">
        <f t="shared" si="1"/>
        <v>Ciencia</v>
      </c>
    </row>
    <row r="35" spans="1:7" x14ac:dyDescent="0.25">
      <c r="A35" t="s">
        <v>386</v>
      </c>
      <c r="B35" t="s">
        <v>387</v>
      </c>
      <c r="C35" s="3" t="str">
        <f>IF(COUNTIF(ciencia!$B:$B,$B35)&gt;0,"Sí","")</f>
        <v>Sí</v>
      </c>
      <c r="D35" s="3" t="str">
        <f>IF(COUNTIF(ia!$B:$B,$B35)&gt;0,"Sí","")</f>
        <v/>
      </c>
      <c r="E35" s="3" t="str">
        <f>IF(COUNTIF(graficas!$B:$B,$B35)&gt;0,"Sí","")</f>
        <v/>
      </c>
      <c r="F35" s="3">
        <f t="shared" si="0"/>
        <v>1</v>
      </c>
      <c r="G35" t="str">
        <f t="shared" si="1"/>
        <v>Ciencia</v>
      </c>
    </row>
    <row r="36" spans="1:7" x14ac:dyDescent="0.25">
      <c r="A36" t="s">
        <v>388</v>
      </c>
      <c r="B36" t="s">
        <v>389</v>
      </c>
      <c r="C36" s="3" t="str">
        <f>IF(COUNTIF(ciencia!$B:$B,$B36)&gt;0,"Sí","")</f>
        <v>Sí</v>
      </c>
      <c r="D36" s="3" t="str">
        <f>IF(COUNTIF(ia!$B:$B,$B36)&gt;0,"Sí","")</f>
        <v/>
      </c>
      <c r="E36" s="3" t="str">
        <f>IF(COUNTIF(graficas!$B:$B,$B36)&gt;0,"Sí","")</f>
        <v/>
      </c>
      <c r="F36" s="3">
        <f t="shared" si="0"/>
        <v>1</v>
      </c>
      <c r="G36" t="str">
        <f t="shared" si="1"/>
        <v>Ciencia</v>
      </c>
    </row>
    <row r="37" spans="1:7" x14ac:dyDescent="0.25">
      <c r="A37" t="s">
        <v>390</v>
      </c>
      <c r="B37" t="s">
        <v>391</v>
      </c>
      <c r="C37" s="3" t="str">
        <f>IF(COUNTIF(ciencia!$B:$B,$B37)&gt;0,"Sí","")</f>
        <v>Sí</v>
      </c>
      <c r="D37" s="3" t="str">
        <f>IF(COUNTIF(ia!$B:$B,$B37)&gt;0,"Sí","")</f>
        <v/>
      </c>
      <c r="E37" s="3" t="str">
        <f>IF(COUNTIF(graficas!$B:$B,$B37)&gt;0,"Sí","")</f>
        <v/>
      </c>
      <c r="F37" s="3">
        <f t="shared" si="0"/>
        <v>1</v>
      </c>
      <c r="G37" t="str">
        <f t="shared" si="1"/>
        <v>Ciencia</v>
      </c>
    </row>
    <row r="38" spans="1:7" x14ac:dyDescent="0.25">
      <c r="A38" t="s">
        <v>392</v>
      </c>
      <c r="B38" t="s">
        <v>393</v>
      </c>
      <c r="C38" s="3" t="str">
        <f>IF(COUNTIF(ciencia!$B:$B,$B38)&gt;0,"Sí","")</f>
        <v>Sí</v>
      </c>
      <c r="D38" s="3" t="str">
        <f>IF(COUNTIF(ia!$B:$B,$B38)&gt;0,"Sí","")</f>
        <v/>
      </c>
      <c r="E38" s="3" t="str">
        <f>IF(COUNTIF(graficas!$B:$B,$B38)&gt;0,"Sí","")</f>
        <v/>
      </c>
      <c r="F38" s="3">
        <f t="shared" si="0"/>
        <v>1</v>
      </c>
      <c r="G38" t="str">
        <f t="shared" si="1"/>
        <v>Ciencia</v>
      </c>
    </row>
    <row r="39" spans="1:7" x14ac:dyDescent="0.25">
      <c r="A39" t="s">
        <v>394</v>
      </c>
      <c r="B39" t="s">
        <v>395</v>
      </c>
      <c r="C39" s="3" t="str">
        <f>IF(COUNTIF(ciencia!$B:$B,$B39)&gt;0,"Sí","")</f>
        <v>Sí</v>
      </c>
      <c r="D39" s="3" t="str">
        <f>IF(COUNTIF(ia!$B:$B,$B39)&gt;0,"Sí","")</f>
        <v/>
      </c>
      <c r="E39" s="3" t="str">
        <f>IF(COUNTIF(graficas!$B:$B,$B39)&gt;0,"Sí","")</f>
        <v/>
      </c>
      <c r="F39" s="3">
        <f t="shared" si="0"/>
        <v>1</v>
      </c>
      <c r="G39" t="str">
        <f t="shared" si="1"/>
        <v>Ciencia</v>
      </c>
    </row>
    <row r="40" spans="1:7" x14ac:dyDescent="0.25">
      <c r="A40" t="s">
        <v>396</v>
      </c>
      <c r="B40" t="s">
        <v>397</v>
      </c>
      <c r="C40" s="3" t="str">
        <f>IF(COUNTIF(ciencia!$B:$B,$B40)&gt;0,"Sí","")</f>
        <v>Sí</v>
      </c>
      <c r="D40" s="3" t="str">
        <f>IF(COUNTIF(ia!$B:$B,$B40)&gt;0,"Sí","")</f>
        <v/>
      </c>
      <c r="E40" s="3" t="str">
        <f>IF(COUNTIF(graficas!$B:$B,$B40)&gt;0,"Sí","")</f>
        <v/>
      </c>
      <c r="F40" s="3">
        <f t="shared" si="0"/>
        <v>1</v>
      </c>
      <c r="G40" t="str">
        <f t="shared" si="1"/>
        <v>Ciencia</v>
      </c>
    </row>
    <row r="41" spans="1:7" x14ac:dyDescent="0.25">
      <c r="A41" t="s">
        <v>398</v>
      </c>
      <c r="B41" t="s">
        <v>399</v>
      </c>
      <c r="C41" s="3" t="str">
        <f>IF(COUNTIF(ciencia!$B:$B,$B41)&gt;0,"Sí","")</f>
        <v>Sí</v>
      </c>
      <c r="D41" s="3" t="str">
        <f>IF(COUNTIF(ia!$B:$B,$B41)&gt;0,"Sí","")</f>
        <v/>
      </c>
      <c r="E41" s="3" t="str">
        <f>IF(COUNTIF(graficas!$B:$B,$B41)&gt;0,"Sí","")</f>
        <v/>
      </c>
      <c r="F41" s="3">
        <f t="shared" si="0"/>
        <v>1</v>
      </c>
      <c r="G41" t="str">
        <f t="shared" si="1"/>
        <v>Ciencia</v>
      </c>
    </row>
    <row r="42" spans="1:7" x14ac:dyDescent="0.25">
      <c r="A42" t="s">
        <v>400</v>
      </c>
      <c r="B42" t="s">
        <v>401</v>
      </c>
      <c r="C42" s="3" t="str">
        <f>IF(COUNTIF(ciencia!$B:$B,$B42)&gt;0,"Sí","")</f>
        <v>Sí</v>
      </c>
      <c r="D42" s="3" t="str">
        <f>IF(COUNTIF(ia!$B:$B,$B42)&gt;0,"Sí","")</f>
        <v/>
      </c>
      <c r="E42" s="3" t="str">
        <f>IF(COUNTIF(graficas!$B:$B,$B42)&gt;0,"Sí","")</f>
        <v/>
      </c>
      <c r="F42" s="3">
        <f t="shared" si="0"/>
        <v>1</v>
      </c>
      <c r="G42" t="str">
        <f t="shared" si="1"/>
        <v>Ciencia</v>
      </c>
    </row>
    <row r="43" spans="1:7" x14ac:dyDescent="0.25">
      <c r="A43" t="s">
        <v>402</v>
      </c>
      <c r="B43" t="s">
        <v>403</v>
      </c>
      <c r="C43" s="3" t="str">
        <f>IF(COUNTIF(ciencia!$B:$B,$B43)&gt;0,"Sí","")</f>
        <v>Sí</v>
      </c>
      <c r="D43" s="3" t="str">
        <f>IF(COUNTIF(ia!$B:$B,$B43)&gt;0,"Sí","")</f>
        <v/>
      </c>
      <c r="E43" s="3" t="str">
        <f>IF(COUNTIF(graficas!$B:$B,$B43)&gt;0,"Sí","")</f>
        <v/>
      </c>
      <c r="F43" s="3">
        <f t="shared" si="0"/>
        <v>1</v>
      </c>
      <c r="G43" t="str">
        <f t="shared" si="1"/>
        <v>Ciencia</v>
      </c>
    </row>
    <row r="44" spans="1:7" x14ac:dyDescent="0.25">
      <c r="A44" t="s">
        <v>404</v>
      </c>
      <c r="B44" t="s">
        <v>405</v>
      </c>
      <c r="C44" s="3" t="str">
        <f>IF(COUNTIF(ciencia!$B:$B,$B44)&gt;0,"Sí","")</f>
        <v>Sí</v>
      </c>
      <c r="D44" s="3" t="str">
        <f>IF(COUNTIF(ia!$B:$B,$B44)&gt;0,"Sí","")</f>
        <v/>
      </c>
      <c r="E44" s="3" t="str">
        <f>IF(COUNTIF(graficas!$B:$B,$B44)&gt;0,"Sí","")</f>
        <v/>
      </c>
      <c r="F44" s="3">
        <f t="shared" si="0"/>
        <v>1</v>
      </c>
      <c r="G44" t="str">
        <f t="shared" si="1"/>
        <v>Ciencia</v>
      </c>
    </row>
    <row r="45" spans="1:7" x14ac:dyDescent="0.25">
      <c r="A45" t="s">
        <v>406</v>
      </c>
      <c r="B45" t="s">
        <v>407</v>
      </c>
      <c r="C45" s="3" t="str">
        <f>IF(COUNTIF(ciencia!$B:$B,$B45)&gt;0,"Sí","")</f>
        <v>Sí</v>
      </c>
      <c r="D45" s="3" t="str">
        <f>IF(COUNTIF(ia!$B:$B,$B45)&gt;0,"Sí","")</f>
        <v/>
      </c>
      <c r="E45" s="3" t="str">
        <f>IF(COUNTIF(graficas!$B:$B,$B45)&gt;0,"Sí","")</f>
        <v/>
      </c>
      <c r="F45" s="3">
        <f t="shared" si="0"/>
        <v>1</v>
      </c>
      <c r="G45" t="str">
        <f t="shared" si="1"/>
        <v>Ciencia</v>
      </c>
    </row>
    <row r="46" spans="1:7" x14ac:dyDescent="0.25">
      <c r="A46" t="s">
        <v>408</v>
      </c>
      <c r="B46" t="s">
        <v>409</v>
      </c>
      <c r="C46" s="3" t="str">
        <f>IF(COUNTIF(ciencia!$B:$B,$B46)&gt;0,"Sí","")</f>
        <v>Sí</v>
      </c>
      <c r="D46" s="3" t="str">
        <f>IF(COUNTIF(ia!$B:$B,$B46)&gt;0,"Sí","")</f>
        <v/>
      </c>
      <c r="E46" s="3" t="str">
        <f>IF(COUNTIF(graficas!$B:$B,$B46)&gt;0,"Sí","")</f>
        <v/>
      </c>
      <c r="F46" s="3">
        <f t="shared" si="0"/>
        <v>1</v>
      </c>
      <c r="G46" t="str">
        <f t="shared" si="1"/>
        <v>Ciencia</v>
      </c>
    </row>
    <row r="47" spans="1:7" x14ac:dyDescent="0.25">
      <c r="A47" t="s">
        <v>410</v>
      </c>
      <c r="B47" t="s">
        <v>411</v>
      </c>
      <c r="C47" s="3" t="str">
        <f>IF(COUNTIF(ciencia!$B:$B,$B47)&gt;0,"Sí","")</f>
        <v>Sí</v>
      </c>
      <c r="D47" s="3" t="str">
        <f>IF(COUNTIF(ia!$B:$B,$B47)&gt;0,"Sí","")</f>
        <v/>
      </c>
      <c r="E47" s="3" t="str">
        <f>IF(COUNTIF(graficas!$B:$B,$B47)&gt;0,"Sí","")</f>
        <v/>
      </c>
      <c r="F47" s="3">
        <f t="shared" si="0"/>
        <v>1</v>
      </c>
      <c r="G47" t="str">
        <f t="shared" si="1"/>
        <v>Ciencia</v>
      </c>
    </row>
    <row r="48" spans="1:7" x14ac:dyDescent="0.25">
      <c r="A48" t="s">
        <v>412</v>
      </c>
      <c r="B48" t="s">
        <v>413</v>
      </c>
      <c r="C48" s="3" t="str">
        <f>IF(COUNTIF(ciencia!$B:$B,$B48)&gt;0,"Sí","")</f>
        <v>Sí</v>
      </c>
      <c r="D48" s="3" t="str">
        <f>IF(COUNTIF(ia!$B:$B,$B48)&gt;0,"Sí","")</f>
        <v/>
      </c>
      <c r="E48" s="3" t="str">
        <f>IF(COUNTIF(graficas!$B:$B,$B48)&gt;0,"Sí","")</f>
        <v/>
      </c>
      <c r="F48" s="3">
        <f t="shared" si="0"/>
        <v>1</v>
      </c>
      <c r="G48" t="str">
        <f t="shared" si="1"/>
        <v>Ciencia</v>
      </c>
    </row>
    <row r="49" spans="1:7" x14ac:dyDescent="0.25">
      <c r="A49" t="s">
        <v>414</v>
      </c>
      <c r="B49" t="s">
        <v>415</v>
      </c>
      <c r="C49" s="3" t="str">
        <f>IF(COUNTIF(ciencia!$B:$B,$B49)&gt;0,"Sí","")</f>
        <v>Sí</v>
      </c>
      <c r="D49" s="3" t="str">
        <f>IF(COUNTIF(ia!$B:$B,$B49)&gt;0,"Sí","")</f>
        <v/>
      </c>
      <c r="E49" s="3" t="str">
        <f>IF(COUNTIF(graficas!$B:$B,$B49)&gt;0,"Sí","")</f>
        <v/>
      </c>
      <c r="F49" s="3">
        <f t="shared" si="0"/>
        <v>1</v>
      </c>
      <c r="G49" t="str">
        <f t="shared" si="1"/>
        <v>Ciencia</v>
      </c>
    </row>
    <row r="50" spans="1:7" x14ac:dyDescent="0.25">
      <c r="A50" t="s">
        <v>416</v>
      </c>
      <c r="B50" t="s">
        <v>417</v>
      </c>
      <c r="C50" s="3" t="str">
        <f>IF(COUNTIF(ciencia!$B:$B,$B50)&gt;0,"Sí","")</f>
        <v>Sí</v>
      </c>
      <c r="D50" s="3" t="str">
        <f>IF(COUNTIF(ia!$B:$B,$B50)&gt;0,"Sí","")</f>
        <v/>
      </c>
      <c r="E50" s="3" t="str">
        <f>IF(COUNTIF(graficas!$B:$B,$B50)&gt;0,"Sí","")</f>
        <v/>
      </c>
      <c r="F50" s="3">
        <f t="shared" si="0"/>
        <v>1</v>
      </c>
      <c r="G50" t="str">
        <f t="shared" si="1"/>
        <v>Ciencia</v>
      </c>
    </row>
    <row r="51" spans="1:7" x14ac:dyDescent="0.25">
      <c r="A51" t="s">
        <v>418</v>
      </c>
      <c r="B51" t="s">
        <v>419</v>
      </c>
      <c r="C51" s="3" t="str">
        <f>IF(COUNTIF(ciencia!$B:$B,$B51)&gt;0,"Sí","")</f>
        <v>Sí</v>
      </c>
      <c r="D51" s="3" t="str">
        <f>IF(COUNTIF(ia!$B:$B,$B51)&gt;0,"Sí","")</f>
        <v/>
      </c>
      <c r="E51" s="3" t="str">
        <f>IF(COUNTIF(graficas!$B:$B,$B51)&gt;0,"Sí","")</f>
        <v/>
      </c>
      <c r="F51" s="3">
        <f t="shared" si="0"/>
        <v>1</v>
      </c>
      <c r="G51" t="str">
        <f t="shared" si="1"/>
        <v>Ciencia</v>
      </c>
    </row>
    <row r="52" spans="1:7" x14ac:dyDescent="0.25">
      <c r="A52" t="s">
        <v>420</v>
      </c>
      <c r="B52" t="s">
        <v>421</v>
      </c>
      <c r="C52" s="3" t="str">
        <f>IF(COUNTIF(ciencia!$B:$B,$B52)&gt;0,"Sí","")</f>
        <v>Sí</v>
      </c>
      <c r="D52" s="3" t="str">
        <f>IF(COUNTIF(ia!$B:$B,$B52)&gt;0,"Sí","")</f>
        <v/>
      </c>
      <c r="E52" s="3" t="str">
        <f>IF(COUNTIF(graficas!$B:$B,$B52)&gt;0,"Sí","")</f>
        <v/>
      </c>
      <c r="F52" s="3">
        <f t="shared" si="0"/>
        <v>1</v>
      </c>
      <c r="G52" t="str">
        <f t="shared" si="1"/>
        <v>Ciencia</v>
      </c>
    </row>
    <row r="53" spans="1:7" x14ac:dyDescent="0.25">
      <c r="A53" t="s">
        <v>272</v>
      </c>
      <c r="B53" t="s">
        <v>422</v>
      </c>
      <c r="C53" s="3" t="str">
        <f>IF(COUNTIF(ciencia!$B:$B,$B53)&gt;0,"Sí","")</f>
        <v>Sí</v>
      </c>
      <c r="D53" s="3" t="str">
        <f>IF(COUNTIF(ia!$B:$B,$B53)&gt;0,"Sí","")</f>
        <v/>
      </c>
      <c r="E53" s="3" t="str">
        <f>IF(COUNTIF(graficas!$B:$B,$B53)&gt;0,"Sí","")</f>
        <v/>
      </c>
      <c r="F53" s="3">
        <f t="shared" si="0"/>
        <v>1</v>
      </c>
      <c r="G53" t="str">
        <f t="shared" si="1"/>
        <v>Ciencia</v>
      </c>
    </row>
    <row r="54" spans="1:7" x14ac:dyDescent="0.25">
      <c r="A54" t="s">
        <v>423</v>
      </c>
      <c r="B54" t="s">
        <v>424</v>
      </c>
      <c r="C54" s="3" t="str">
        <f>IF(COUNTIF(ciencia!$B:$B,$B54)&gt;0,"Sí","")</f>
        <v>Sí</v>
      </c>
      <c r="D54" s="3" t="str">
        <f>IF(COUNTIF(ia!$B:$B,$B54)&gt;0,"Sí","")</f>
        <v/>
      </c>
      <c r="E54" s="3" t="str">
        <f>IF(COUNTIF(graficas!$B:$B,$B54)&gt;0,"Sí","")</f>
        <v/>
      </c>
      <c r="F54" s="3">
        <f t="shared" si="0"/>
        <v>1</v>
      </c>
      <c r="G54" t="str">
        <f t="shared" si="1"/>
        <v>Ciencia</v>
      </c>
    </row>
    <row r="55" spans="1:7" x14ac:dyDescent="0.25">
      <c r="A55" t="s">
        <v>425</v>
      </c>
      <c r="B55" t="s">
        <v>426</v>
      </c>
      <c r="C55" s="3" t="str">
        <f>IF(COUNTIF(ciencia!$B:$B,$B55)&gt;0,"Sí","")</f>
        <v>Sí</v>
      </c>
      <c r="D55" s="3" t="str">
        <f>IF(COUNTIF(ia!$B:$B,$B55)&gt;0,"Sí","")</f>
        <v/>
      </c>
      <c r="E55" s="3" t="str">
        <f>IF(COUNTIF(graficas!$B:$B,$B55)&gt;0,"Sí","")</f>
        <v/>
      </c>
      <c r="F55" s="3">
        <f t="shared" si="0"/>
        <v>1</v>
      </c>
      <c r="G55" t="str">
        <f t="shared" si="1"/>
        <v>Ciencia</v>
      </c>
    </row>
    <row r="56" spans="1:7" x14ac:dyDescent="0.25">
      <c r="A56" t="s">
        <v>20</v>
      </c>
      <c r="B56" t="s">
        <v>21</v>
      </c>
      <c r="C56" s="3" t="str">
        <f>IF(COUNTIF(ciencia!$B:$B,$B56)&gt;0,"Sí","")</f>
        <v>Sí</v>
      </c>
      <c r="D56" s="3" t="str">
        <f>IF(COUNTIF(ia!$B:$B,$B56)&gt;0,"Sí","")</f>
        <v>Sí</v>
      </c>
      <c r="E56" s="3" t="str">
        <f>IF(COUNTIF(graficas!$B:$B,$B56)&gt;0,"Sí","")</f>
        <v>Sí</v>
      </c>
      <c r="F56" s="3">
        <f t="shared" si="0"/>
        <v>3</v>
      </c>
      <c r="G56" t="str">
        <f t="shared" si="1"/>
        <v>Ciencia, IA, Gráficas</v>
      </c>
    </row>
    <row r="57" spans="1:7" x14ac:dyDescent="0.25">
      <c r="A57" t="s">
        <v>427</v>
      </c>
      <c r="B57" t="s">
        <v>428</v>
      </c>
      <c r="C57" s="3" t="str">
        <f>IF(COUNTIF(ciencia!$B:$B,$B57)&gt;0,"Sí","")</f>
        <v>Sí</v>
      </c>
      <c r="D57" s="3" t="str">
        <f>IF(COUNTIF(ia!$B:$B,$B57)&gt;0,"Sí","")</f>
        <v/>
      </c>
      <c r="E57" s="3" t="str">
        <f>IF(COUNTIF(graficas!$B:$B,$B57)&gt;0,"Sí","")</f>
        <v/>
      </c>
      <c r="F57" s="3">
        <f t="shared" si="0"/>
        <v>1</v>
      </c>
      <c r="G57" t="str">
        <f t="shared" si="1"/>
        <v>Ciencia</v>
      </c>
    </row>
    <row r="58" spans="1:7" x14ac:dyDescent="0.25">
      <c r="A58" t="s">
        <v>429</v>
      </c>
      <c r="B58" t="s">
        <v>430</v>
      </c>
      <c r="C58" s="3" t="str">
        <f>IF(COUNTIF(ciencia!$B:$B,$B58)&gt;0,"Sí","")</f>
        <v>Sí</v>
      </c>
      <c r="D58" s="3" t="str">
        <f>IF(COUNTIF(ia!$B:$B,$B58)&gt;0,"Sí","")</f>
        <v/>
      </c>
      <c r="E58" s="3" t="str">
        <f>IF(COUNTIF(graficas!$B:$B,$B58)&gt;0,"Sí","")</f>
        <v/>
      </c>
      <c r="F58" s="3">
        <f t="shared" si="0"/>
        <v>1</v>
      </c>
      <c r="G58" t="str">
        <f t="shared" si="1"/>
        <v>Ciencia</v>
      </c>
    </row>
    <row r="59" spans="1:7" x14ac:dyDescent="0.25">
      <c r="A59" t="s">
        <v>826</v>
      </c>
      <c r="B59" t="s">
        <v>432</v>
      </c>
      <c r="C59" s="3" t="str">
        <f>IF(COUNTIF(ciencia!$B:$B,$B59)&gt;0,"Sí","")</f>
        <v>Sí</v>
      </c>
      <c r="D59" s="3" t="str">
        <f>IF(COUNTIF(ia!$B:$B,$B59)&gt;0,"Sí","")</f>
        <v/>
      </c>
      <c r="E59" s="3" t="str">
        <f>IF(COUNTIF(graficas!$B:$B,$B59)&gt;0,"Sí","")</f>
        <v/>
      </c>
      <c r="F59" s="3">
        <f t="shared" si="0"/>
        <v>1</v>
      </c>
      <c r="G59" t="str">
        <f t="shared" si="1"/>
        <v>Ciencia</v>
      </c>
    </row>
    <row r="60" spans="1:7" x14ac:dyDescent="0.25">
      <c r="A60" t="s">
        <v>433</v>
      </c>
      <c r="B60" t="s">
        <v>434</v>
      </c>
      <c r="C60" s="3" t="str">
        <f>IF(COUNTIF(ciencia!$B:$B,$B60)&gt;0,"Sí","")</f>
        <v>Sí</v>
      </c>
      <c r="D60" s="3" t="str">
        <f>IF(COUNTIF(ia!$B:$B,$B60)&gt;0,"Sí","")</f>
        <v/>
      </c>
      <c r="E60" s="3" t="str">
        <f>IF(COUNTIF(graficas!$B:$B,$B60)&gt;0,"Sí","")</f>
        <v/>
      </c>
      <c r="F60" s="3">
        <f t="shared" si="0"/>
        <v>1</v>
      </c>
      <c r="G60" t="str">
        <f t="shared" si="1"/>
        <v>Ciencia</v>
      </c>
    </row>
    <row r="61" spans="1:7" x14ac:dyDescent="0.25">
      <c r="A61" t="s">
        <v>435</v>
      </c>
      <c r="B61" t="s">
        <v>436</v>
      </c>
      <c r="C61" s="3" t="str">
        <f>IF(COUNTIF(ciencia!$B:$B,$B61)&gt;0,"Sí","")</f>
        <v>Sí</v>
      </c>
      <c r="D61" s="3" t="str">
        <f>IF(COUNTIF(ia!$B:$B,$B61)&gt;0,"Sí","")</f>
        <v/>
      </c>
      <c r="E61" s="3" t="str">
        <f>IF(COUNTIF(graficas!$B:$B,$B61)&gt;0,"Sí","")</f>
        <v/>
      </c>
      <c r="F61" s="3">
        <f t="shared" si="0"/>
        <v>1</v>
      </c>
      <c r="G61" t="str">
        <f t="shared" si="1"/>
        <v>Ciencia</v>
      </c>
    </row>
    <row r="62" spans="1:7" x14ac:dyDescent="0.25">
      <c r="A62" t="s">
        <v>437</v>
      </c>
      <c r="B62" t="s">
        <v>438</v>
      </c>
      <c r="C62" s="3" t="str">
        <f>IF(COUNTIF(ciencia!$B:$B,$B62)&gt;0,"Sí","")</f>
        <v>Sí</v>
      </c>
      <c r="D62" s="3" t="str">
        <f>IF(COUNTIF(ia!$B:$B,$B62)&gt;0,"Sí","")</f>
        <v/>
      </c>
      <c r="E62" s="3" t="str">
        <f>IF(COUNTIF(graficas!$B:$B,$B62)&gt;0,"Sí","")</f>
        <v/>
      </c>
      <c r="F62" s="3">
        <f t="shared" si="0"/>
        <v>1</v>
      </c>
      <c r="G62" t="str">
        <f t="shared" si="1"/>
        <v>Ciencia</v>
      </c>
    </row>
    <row r="63" spans="1:7" x14ac:dyDescent="0.25">
      <c r="A63" t="s">
        <v>439</v>
      </c>
      <c r="B63" t="s">
        <v>440</v>
      </c>
      <c r="C63" s="3" t="str">
        <f>IF(COUNTIF(ciencia!$B:$B,$B63)&gt;0,"Sí","")</f>
        <v>Sí</v>
      </c>
      <c r="D63" s="3" t="str">
        <f>IF(COUNTIF(ia!$B:$B,$B63)&gt;0,"Sí","")</f>
        <v/>
      </c>
      <c r="E63" s="3" t="str">
        <f>IF(COUNTIF(graficas!$B:$B,$B63)&gt;0,"Sí","")</f>
        <v/>
      </c>
      <c r="F63" s="3">
        <f t="shared" si="0"/>
        <v>1</v>
      </c>
      <c r="G63" t="str">
        <f t="shared" si="1"/>
        <v>Ciencia</v>
      </c>
    </row>
    <row r="64" spans="1:7" x14ac:dyDescent="0.25">
      <c r="A64" t="s">
        <v>441</v>
      </c>
      <c r="B64" t="s">
        <v>442</v>
      </c>
      <c r="C64" s="3" t="str">
        <f>IF(COUNTIF(ciencia!$B:$B,$B64)&gt;0,"Sí","")</f>
        <v>Sí</v>
      </c>
      <c r="D64" s="3" t="str">
        <f>IF(COUNTIF(ia!$B:$B,$B64)&gt;0,"Sí","")</f>
        <v/>
      </c>
      <c r="E64" s="3" t="str">
        <f>IF(COUNTIF(graficas!$B:$B,$B64)&gt;0,"Sí","")</f>
        <v/>
      </c>
      <c r="F64" s="3">
        <f t="shared" si="0"/>
        <v>1</v>
      </c>
      <c r="G64" t="str">
        <f t="shared" si="1"/>
        <v>Ciencia</v>
      </c>
    </row>
    <row r="65" spans="1:7" x14ac:dyDescent="0.25">
      <c r="A65" t="s">
        <v>443</v>
      </c>
      <c r="B65" t="s">
        <v>444</v>
      </c>
      <c r="C65" s="3" t="str">
        <f>IF(COUNTIF(ciencia!$B:$B,$B65)&gt;0,"Sí","")</f>
        <v>Sí</v>
      </c>
      <c r="D65" s="3" t="str">
        <f>IF(COUNTIF(ia!$B:$B,$B65)&gt;0,"Sí","")</f>
        <v/>
      </c>
      <c r="E65" s="3" t="str">
        <f>IF(COUNTIF(graficas!$B:$B,$B65)&gt;0,"Sí","")</f>
        <v/>
      </c>
      <c r="F65" s="3">
        <f t="shared" si="0"/>
        <v>1</v>
      </c>
      <c r="G65" t="str">
        <f t="shared" si="1"/>
        <v>Ciencia</v>
      </c>
    </row>
    <row r="66" spans="1:7" x14ac:dyDescent="0.25">
      <c r="A66" t="s">
        <v>445</v>
      </c>
      <c r="B66" t="s">
        <v>446</v>
      </c>
      <c r="C66" s="3" t="str">
        <f>IF(COUNTIF(ciencia!$B:$B,$B66)&gt;0,"Sí","")</f>
        <v>Sí</v>
      </c>
      <c r="D66" s="3" t="str">
        <f>IF(COUNTIF(ia!$B:$B,$B66)&gt;0,"Sí","")</f>
        <v/>
      </c>
      <c r="E66" s="3" t="str">
        <f>IF(COUNTIF(graficas!$B:$B,$B66)&gt;0,"Sí","")</f>
        <v/>
      </c>
      <c r="F66" s="3">
        <f t="shared" si="0"/>
        <v>1</v>
      </c>
      <c r="G66" t="str">
        <f t="shared" si="1"/>
        <v>Ciencia</v>
      </c>
    </row>
    <row r="67" spans="1:7" x14ac:dyDescent="0.25">
      <c r="A67" t="s">
        <v>447</v>
      </c>
      <c r="B67" t="s">
        <v>448</v>
      </c>
      <c r="C67" s="3" t="str">
        <f>IF(COUNTIF(ciencia!$B:$B,$B67)&gt;0,"Sí","")</f>
        <v>Sí</v>
      </c>
      <c r="D67" s="3" t="str">
        <f>IF(COUNTIF(ia!$B:$B,$B67)&gt;0,"Sí","")</f>
        <v/>
      </c>
      <c r="E67" s="3" t="str">
        <f>IF(COUNTIF(graficas!$B:$B,$B67)&gt;0,"Sí","")</f>
        <v/>
      </c>
      <c r="F67" s="3">
        <f t="shared" ref="F67:F130" si="2">COUNTIF(C67:E67,"Sí")</f>
        <v>1</v>
      </c>
      <c r="G67" t="str">
        <f t="shared" ref="G67:G130" si="3">_xlfn.TEXTJOIN(", ",TRUE,IF(C67="Sí","Ciencia",""),IF(D67="Sí","IA",""),IF(E67="Sí","Gráficas",""))</f>
        <v>Ciencia</v>
      </c>
    </row>
    <row r="68" spans="1:7" x14ac:dyDescent="0.25">
      <c r="A68" t="s">
        <v>449</v>
      </c>
      <c r="B68" t="s">
        <v>450</v>
      </c>
      <c r="C68" s="3" t="str">
        <f>IF(COUNTIF(ciencia!$B:$B,$B68)&gt;0,"Sí","")</f>
        <v>Sí</v>
      </c>
      <c r="D68" s="3" t="str">
        <f>IF(COUNTIF(ia!$B:$B,$B68)&gt;0,"Sí","")</f>
        <v/>
      </c>
      <c r="E68" s="3" t="str">
        <f>IF(COUNTIF(graficas!$B:$B,$B68)&gt;0,"Sí","")</f>
        <v/>
      </c>
      <c r="F68" s="3">
        <f t="shared" si="2"/>
        <v>1</v>
      </c>
      <c r="G68" t="str">
        <f t="shared" si="3"/>
        <v>Ciencia</v>
      </c>
    </row>
    <row r="69" spans="1:7" x14ac:dyDescent="0.25">
      <c r="A69" t="s">
        <v>451</v>
      </c>
      <c r="B69" t="s">
        <v>452</v>
      </c>
      <c r="C69" s="3" t="str">
        <f>IF(COUNTIF(ciencia!$B:$B,$B69)&gt;0,"Sí","")</f>
        <v>Sí</v>
      </c>
      <c r="D69" s="3" t="str">
        <f>IF(COUNTIF(ia!$B:$B,$B69)&gt;0,"Sí","")</f>
        <v/>
      </c>
      <c r="E69" s="3" t="str">
        <f>IF(COUNTIF(graficas!$B:$B,$B69)&gt;0,"Sí","")</f>
        <v/>
      </c>
      <c r="F69" s="3">
        <f t="shared" si="2"/>
        <v>1</v>
      </c>
      <c r="G69" t="str">
        <f t="shared" si="3"/>
        <v>Ciencia</v>
      </c>
    </row>
    <row r="70" spans="1:7" x14ac:dyDescent="0.25">
      <c r="A70" t="s">
        <v>212</v>
      </c>
      <c r="B70" t="s">
        <v>213</v>
      </c>
      <c r="C70" s="3" t="str">
        <f>IF(COUNTIF(ciencia!$B:$B,$B70)&gt;0,"Sí","")</f>
        <v>Sí</v>
      </c>
      <c r="D70" s="3" t="str">
        <f>IF(COUNTIF(ia!$B:$B,$B70)&gt;0,"Sí","")</f>
        <v>Sí</v>
      </c>
      <c r="E70" s="3" t="str">
        <f>IF(COUNTIF(graficas!$B:$B,$B70)&gt;0,"Sí","")</f>
        <v/>
      </c>
      <c r="F70" s="3">
        <f t="shared" si="2"/>
        <v>2</v>
      </c>
      <c r="G70" t="str">
        <f t="shared" si="3"/>
        <v>Ciencia, IA</v>
      </c>
    </row>
    <row r="71" spans="1:7" x14ac:dyDescent="0.25">
      <c r="A71" t="s">
        <v>453</v>
      </c>
      <c r="B71" t="s">
        <v>454</v>
      </c>
      <c r="C71" s="3" t="str">
        <f>IF(COUNTIF(ciencia!$B:$B,$B71)&gt;0,"Sí","")</f>
        <v>Sí</v>
      </c>
      <c r="D71" s="3" t="str">
        <f>IF(COUNTIF(ia!$B:$B,$B71)&gt;0,"Sí","")</f>
        <v/>
      </c>
      <c r="E71" s="3" t="str">
        <f>IF(COUNTIF(graficas!$B:$B,$B71)&gt;0,"Sí","")</f>
        <v/>
      </c>
      <c r="F71" s="3">
        <f t="shared" si="2"/>
        <v>1</v>
      </c>
      <c r="G71" t="str">
        <f t="shared" si="3"/>
        <v>Ciencia</v>
      </c>
    </row>
    <row r="72" spans="1:7" x14ac:dyDescent="0.25">
      <c r="A72" t="s">
        <v>104</v>
      </c>
      <c r="B72" t="s">
        <v>105</v>
      </c>
      <c r="C72" s="3" t="str">
        <f>IF(COUNTIF(ciencia!$B:$B,$B72)&gt;0,"Sí","")</f>
        <v>Sí</v>
      </c>
      <c r="D72" s="3" t="str">
        <f>IF(COUNTIF(ia!$B:$B,$B72)&gt;0,"Sí","")</f>
        <v/>
      </c>
      <c r="E72" s="3" t="str">
        <f>IF(COUNTIF(graficas!$B:$B,$B72)&gt;0,"Sí","")</f>
        <v>Sí</v>
      </c>
      <c r="F72" s="3">
        <f t="shared" si="2"/>
        <v>2</v>
      </c>
      <c r="G72" t="str">
        <f t="shared" si="3"/>
        <v>Ciencia, Gráficas</v>
      </c>
    </row>
    <row r="73" spans="1:7" x14ac:dyDescent="0.25">
      <c r="A73" t="s">
        <v>216</v>
      </c>
      <c r="B73" t="s">
        <v>217</v>
      </c>
      <c r="C73" s="3" t="str">
        <f>IF(COUNTIF(ciencia!$B:$B,$B73)&gt;0,"Sí","")</f>
        <v>Sí</v>
      </c>
      <c r="D73" s="3" t="str">
        <f>IF(COUNTIF(ia!$B:$B,$B73)&gt;0,"Sí","")</f>
        <v>Sí</v>
      </c>
      <c r="E73" s="3" t="str">
        <f>IF(COUNTIF(graficas!$B:$B,$B73)&gt;0,"Sí","")</f>
        <v/>
      </c>
      <c r="F73" s="3">
        <f t="shared" si="2"/>
        <v>2</v>
      </c>
      <c r="G73" t="str">
        <f t="shared" si="3"/>
        <v>Ciencia, IA</v>
      </c>
    </row>
    <row r="74" spans="1:7" x14ac:dyDescent="0.25">
      <c r="A74" t="s">
        <v>402</v>
      </c>
      <c r="B74" t="s">
        <v>455</v>
      </c>
      <c r="C74" s="3" t="str">
        <f>IF(COUNTIF(ciencia!$B:$B,$B74)&gt;0,"Sí","")</f>
        <v>Sí</v>
      </c>
      <c r="D74" s="3" t="str">
        <f>IF(COUNTIF(ia!$B:$B,$B74)&gt;0,"Sí","")</f>
        <v/>
      </c>
      <c r="E74" s="3" t="str">
        <f>IF(COUNTIF(graficas!$B:$B,$B74)&gt;0,"Sí","")</f>
        <v/>
      </c>
      <c r="F74" s="3">
        <f t="shared" si="2"/>
        <v>1</v>
      </c>
      <c r="G74" t="str">
        <f t="shared" si="3"/>
        <v>Ciencia</v>
      </c>
    </row>
    <row r="75" spans="1:7" x14ac:dyDescent="0.25">
      <c r="A75" t="s">
        <v>456</v>
      </c>
      <c r="B75" t="s">
        <v>457</v>
      </c>
      <c r="C75" s="3" t="str">
        <f>IF(COUNTIF(ciencia!$B:$B,$B75)&gt;0,"Sí","")</f>
        <v>Sí</v>
      </c>
      <c r="D75" s="3" t="str">
        <f>IF(COUNTIF(ia!$B:$B,$B75)&gt;0,"Sí","")</f>
        <v/>
      </c>
      <c r="E75" s="3" t="str">
        <f>IF(COUNTIF(graficas!$B:$B,$B75)&gt;0,"Sí","")</f>
        <v/>
      </c>
      <c r="F75" s="3">
        <f t="shared" si="2"/>
        <v>1</v>
      </c>
      <c r="G75" t="str">
        <f t="shared" si="3"/>
        <v>Ciencia</v>
      </c>
    </row>
    <row r="76" spans="1:7" x14ac:dyDescent="0.25">
      <c r="A76" t="s">
        <v>458</v>
      </c>
      <c r="B76" t="s">
        <v>459</v>
      </c>
      <c r="C76" s="3" t="str">
        <f>IF(COUNTIF(ciencia!$B:$B,$B76)&gt;0,"Sí","")</f>
        <v>Sí</v>
      </c>
      <c r="D76" s="3" t="str">
        <f>IF(COUNTIF(ia!$B:$B,$B76)&gt;0,"Sí","")</f>
        <v/>
      </c>
      <c r="E76" s="3" t="str">
        <f>IF(COUNTIF(graficas!$B:$B,$B76)&gt;0,"Sí","")</f>
        <v/>
      </c>
      <c r="F76" s="3">
        <f t="shared" si="2"/>
        <v>1</v>
      </c>
      <c r="G76" t="str">
        <f t="shared" si="3"/>
        <v>Ciencia</v>
      </c>
    </row>
    <row r="77" spans="1:7" x14ac:dyDescent="0.25">
      <c r="A77" t="s">
        <v>460</v>
      </c>
      <c r="B77" t="s">
        <v>461</v>
      </c>
      <c r="C77" s="3" t="str">
        <f>IF(COUNTIF(ciencia!$B:$B,$B77)&gt;0,"Sí","")</f>
        <v>Sí</v>
      </c>
      <c r="D77" s="3" t="str">
        <f>IF(COUNTIF(ia!$B:$B,$B77)&gt;0,"Sí","")</f>
        <v/>
      </c>
      <c r="E77" s="3" t="str">
        <f>IF(COUNTIF(graficas!$B:$B,$B77)&gt;0,"Sí","")</f>
        <v/>
      </c>
      <c r="F77" s="3">
        <f t="shared" si="2"/>
        <v>1</v>
      </c>
      <c r="G77" t="str">
        <f t="shared" si="3"/>
        <v>Ciencia</v>
      </c>
    </row>
    <row r="78" spans="1:7" x14ac:dyDescent="0.25">
      <c r="A78" t="s">
        <v>462</v>
      </c>
      <c r="B78" t="s">
        <v>463</v>
      </c>
      <c r="C78" s="3" t="str">
        <f>IF(COUNTIF(ciencia!$B:$B,$B78)&gt;0,"Sí","")</f>
        <v>Sí</v>
      </c>
      <c r="D78" s="3" t="str">
        <f>IF(COUNTIF(ia!$B:$B,$B78)&gt;0,"Sí","")</f>
        <v/>
      </c>
      <c r="E78" s="3" t="str">
        <f>IF(COUNTIF(graficas!$B:$B,$B78)&gt;0,"Sí","")</f>
        <v/>
      </c>
      <c r="F78" s="3">
        <f t="shared" si="2"/>
        <v>1</v>
      </c>
      <c r="G78" t="str">
        <f t="shared" si="3"/>
        <v>Ciencia</v>
      </c>
    </row>
    <row r="79" spans="1:7" x14ac:dyDescent="0.25">
      <c r="A79" t="s">
        <v>464</v>
      </c>
      <c r="B79" t="s">
        <v>465</v>
      </c>
      <c r="C79" s="3" t="str">
        <f>IF(COUNTIF(ciencia!$B:$B,$B79)&gt;0,"Sí","")</f>
        <v>Sí</v>
      </c>
      <c r="D79" s="3" t="str">
        <f>IF(COUNTIF(ia!$B:$B,$B79)&gt;0,"Sí","")</f>
        <v/>
      </c>
      <c r="E79" s="3" t="str">
        <f>IF(COUNTIF(graficas!$B:$B,$B79)&gt;0,"Sí","")</f>
        <v/>
      </c>
      <c r="F79" s="3">
        <f t="shared" si="2"/>
        <v>1</v>
      </c>
      <c r="G79" t="str">
        <f t="shared" si="3"/>
        <v>Ciencia</v>
      </c>
    </row>
    <row r="80" spans="1:7" x14ac:dyDescent="0.25">
      <c r="A80" t="s">
        <v>466</v>
      </c>
      <c r="B80" t="s">
        <v>467</v>
      </c>
      <c r="C80" s="3" t="str">
        <f>IF(COUNTIF(ciencia!$B:$B,$B80)&gt;0,"Sí","")</f>
        <v>Sí</v>
      </c>
      <c r="D80" s="3" t="str">
        <f>IF(COUNTIF(ia!$B:$B,$B80)&gt;0,"Sí","")</f>
        <v/>
      </c>
      <c r="E80" s="3" t="str">
        <f>IF(COUNTIF(graficas!$B:$B,$B80)&gt;0,"Sí","")</f>
        <v/>
      </c>
      <c r="F80" s="3">
        <f t="shared" si="2"/>
        <v>1</v>
      </c>
      <c r="G80" t="str">
        <f t="shared" si="3"/>
        <v>Ciencia</v>
      </c>
    </row>
    <row r="81" spans="1:7" x14ac:dyDescent="0.25">
      <c r="A81" t="s">
        <v>468</v>
      </c>
      <c r="B81" t="s">
        <v>469</v>
      </c>
      <c r="C81" s="3" t="str">
        <f>IF(COUNTIF(ciencia!$B:$B,$B81)&gt;0,"Sí","")</f>
        <v>Sí</v>
      </c>
      <c r="D81" s="3" t="str">
        <f>IF(COUNTIF(ia!$B:$B,$B81)&gt;0,"Sí","")</f>
        <v/>
      </c>
      <c r="E81" s="3" t="str">
        <f>IF(COUNTIF(graficas!$B:$B,$B81)&gt;0,"Sí","")</f>
        <v/>
      </c>
      <c r="F81" s="3">
        <f t="shared" si="2"/>
        <v>1</v>
      </c>
      <c r="G81" t="str">
        <f t="shared" si="3"/>
        <v>Ciencia</v>
      </c>
    </row>
    <row r="82" spans="1:7" x14ac:dyDescent="0.25">
      <c r="A82" t="s">
        <v>470</v>
      </c>
      <c r="B82" t="s">
        <v>471</v>
      </c>
      <c r="C82" s="3" t="str">
        <f>IF(COUNTIF(ciencia!$B:$B,$B82)&gt;0,"Sí","")</f>
        <v>Sí</v>
      </c>
      <c r="D82" s="3" t="str">
        <f>IF(COUNTIF(ia!$B:$B,$B82)&gt;0,"Sí","")</f>
        <v/>
      </c>
      <c r="E82" s="3" t="str">
        <f>IF(COUNTIF(graficas!$B:$B,$B82)&gt;0,"Sí","")</f>
        <v/>
      </c>
      <c r="F82" s="3">
        <f t="shared" si="2"/>
        <v>1</v>
      </c>
      <c r="G82" t="str">
        <f t="shared" si="3"/>
        <v>Ciencia</v>
      </c>
    </row>
    <row r="83" spans="1:7" x14ac:dyDescent="0.25">
      <c r="A83" t="s">
        <v>472</v>
      </c>
      <c r="B83" t="s">
        <v>473</v>
      </c>
      <c r="C83" s="3" t="str">
        <f>IF(COUNTIF(ciencia!$B:$B,$B83)&gt;0,"Sí","")</f>
        <v>Sí</v>
      </c>
      <c r="D83" s="3" t="str">
        <f>IF(COUNTIF(ia!$B:$B,$B83)&gt;0,"Sí","")</f>
        <v/>
      </c>
      <c r="E83" s="3" t="str">
        <f>IF(COUNTIF(graficas!$B:$B,$B83)&gt;0,"Sí","")</f>
        <v/>
      </c>
      <c r="F83" s="3">
        <f t="shared" si="2"/>
        <v>1</v>
      </c>
      <c r="G83" t="str">
        <f t="shared" si="3"/>
        <v>Ciencia</v>
      </c>
    </row>
    <row r="84" spans="1:7" x14ac:dyDescent="0.25">
      <c r="A84" t="s">
        <v>242</v>
      </c>
      <c r="B84" t="s">
        <v>243</v>
      </c>
      <c r="C84" s="3" t="str">
        <f>IF(COUNTIF(ciencia!$B:$B,$B84)&gt;0,"Sí","")</f>
        <v>Sí</v>
      </c>
      <c r="D84" s="3" t="str">
        <f>IF(COUNTIF(ia!$B:$B,$B84)&gt;0,"Sí","")</f>
        <v>Sí</v>
      </c>
      <c r="E84" s="3" t="str">
        <f>IF(COUNTIF(graficas!$B:$B,$B84)&gt;0,"Sí","")</f>
        <v/>
      </c>
      <c r="F84" s="3">
        <f t="shared" si="2"/>
        <v>2</v>
      </c>
      <c r="G84" t="str">
        <f t="shared" si="3"/>
        <v>Ciencia, IA</v>
      </c>
    </row>
    <row r="85" spans="1:7" x14ac:dyDescent="0.25">
      <c r="A85" t="s">
        <v>474</v>
      </c>
      <c r="B85" t="s">
        <v>475</v>
      </c>
      <c r="C85" s="3" t="str">
        <f>IF(COUNTIF(ciencia!$B:$B,$B85)&gt;0,"Sí","")</f>
        <v>Sí</v>
      </c>
      <c r="D85" s="3" t="str">
        <f>IF(COUNTIF(ia!$B:$B,$B85)&gt;0,"Sí","")</f>
        <v/>
      </c>
      <c r="E85" s="3" t="str">
        <f>IF(COUNTIF(graficas!$B:$B,$B85)&gt;0,"Sí","")</f>
        <v/>
      </c>
      <c r="F85" s="3">
        <f t="shared" si="2"/>
        <v>1</v>
      </c>
      <c r="G85" t="str">
        <f t="shared" si="3"/>
        <v>Ciencia</v>
      </c>
    </row>
    <row r="86" spans="1:7" x14ac:dyDescent="0.25">
      <c r="A86" t="s">
        <v>476</v>
      </c>
      <c r="B86" t="s">
        <v>477</v>
      </c>
      <c r="C86" s="3" t="str">
        <f>IF(COUNTIF(ciencia!$B:$B,$B86)&gt;0,"Sí","")</f>
        <v>Sí</v>
      </c>
      <c r="D86" s="3" t="str">
        <f>IF(COUNTIF(ia!$B:$B,$B86)&gt;0,"Sí","")</f>
        <v/>
      </c>
      <c r="E86" s="3" t="str">
        <f>IF(COUNTIF(graficas!$B:$B,$B86)&gt;0,"Sí","")</f>
        <v/>
      </c>
      <c r="F86" s="3">
        <f t="shared" si="2"/>
        <v>1</v>
      </c>
      <c r="G86" t="str">
        <f t="shared" si="3"/>
        <v>Ciencia</v>
      </c>
    </row>
    <row r="87" spans="1:7" x14ac:dyDescent="0.25">
      <c r="A87" t="s">
        <v>116</v>
      </c>
      <c r="B87" t="s">
        <v>117</v>
      </c>
      <c r="C87" s="3" t="str">
        <f>IF(COUNTIF(ciencia!$B:$B,$B87)&gt;0,"Sí","")</f>
        <v>Sí</v>
      </c>
      <c r="D87" s="3" t="str">
        <f>IF(COUNTIF(ia!$B:$B,$B87)&gt;0,"Sí","")</f>
        <v/>
      </c>
      <c r="E87" s="3" t="str">
        <f>IF(COUNTIF(graficas!$B:$B,$B87)&gt;0,"Sí","")</f>
        <v>Sí</v>
      </c>
      <c r="F87" s="3">
        <f t="shared" si="2"/>
        <v>2</v>
      </c>
      <c r="G87" t="str">
        <f t="shared" si="3"/>
        <v>Ciencia, Gráficas</v>
      </c>
    </row>
    <row r="88" spans="1:7" x14ac:dyDescent="0.25">
      <c r="A88" t="s">
        <v>478</v>
      </c>
      <c r="B88" t="s">
        <v>479</v>
      </c>
      <c r="C88" s="3" t="str">
        <f>IF(COUNTIF(ciencia!$B:$B,$B88)&gt;0,"Sí","")</f>
        <v>Sí</v>
      </c>
      <c r="D88" s="3" t="str">
        <f>IF(COUNTIF(ia!$B:$B,$B88)&gt;0,"Sí","")</f>
        <v/>
      </c>
      <c r="E88" s="3" t="str">
        <f>IF(COUNTIF(graficas!$B:$B,$B88)&gt;0,"Sí","")</f>
        <v/>
      </c>
      <c r="F88" s="3">
        <f t="shared" si="2"/>
        <v>1</v>
      </c>
      <c r="G88" t="str">
        <f t="shared" si="3"/>
        <v>Ciencia</v>
      </c>
    </row>
    <row r="89" spans="1:7" x14ac:dyDescent="0.25">
      <c r="A89" t="s">
        <v>480</v>
      </c>
      <c r="B89" t="s">
        <v>481</v>
      </c>
      <c r="C89" s="3" t="str">
        <f>IF(COUNTIF(ciencia!$B:$B,$B89)&gt;0,"Sí","")</f>
        <v>Sí</v>
      </c>
      <c r="D89" s="3" t="str">
        <f>IF(COUNTIF(ia!$B:$B,$B89)&gt;0,"Sí","")</f>
        <v/>
      </c>
      <c r="E89" s="3" t="str">
        <f>IF(COUNTIF(graficas!$B:$B,$B89)&gt;0,"Sí","")</f>
        <v/>
      </c>
      <c r="F89" s="3">
        <f t="shared" si="2"/>
        <v>1</v>
      </c>
      <c r="G89" t="str">
        <f t="shared" si="3"/>
        <v>Ciencia</v>
      </c>
    </row>
    <row r="90" spans="1:7" x14ac:dyDescent="0.25">
      <c r="A90" t="s">
        <v>482</v>
      </c>
      <c r="B90" t="s">
        <v>483</v>
      </c>
      <c r="C90" s="3" t="str">
        <f>IF(COUNTIF(ciencia!$B:$B,$B90)&gt;0,"Sí","")</f>
        <v>Sí</v>
      </c>
      <c r="D90" s="3" t="str">
        <f>IF(COUNTIF(ia!$B:$B,$B90)&gt;0,"Sí","")</f>
        <v/>
      </c>
      <c r="E90" s="3" t="str">
        <f>IF(COUNTIF(graficas!$B:$B,$B90)&gt;0,"Sí","")</f>
        <v/>
      </c>
      <c r="F90" s="3">
        <f t="shared" si="2"/>
        <v>1</v>
      </c>
      <c r="G90" t="str">
        <f t="shared" si="3"/>
        <v>Ciencia</v>
      </c>
    </row>
    <row r="91" spans="1:7" x14ac:dyDescent="0.25">
      <c r="A91" t="s">
        <v>484</v>
      </c>
      <c r="B91" t="s">
        <v>485</v>
      </c>
      <c r="C91" s="3" t="str">
        <f>IF(COUNTIF(ciencia!$B:$B,$B91)&gt;0,"Sí","")</f>
        <v>Sí</v>
      </c>
      <c r="D91" s="3" t="str">
        <f>IF(COUNTIF(ia!$B:$B,$B91)&gt;0,"Sí","")</f>
        <v/>
      </c>
      <c r="E91" s="3" t="str">
        <f>IF(COUNTIF(graficas!$B:$B,$B91)&gt;0,"Sí","")</f>
        <v/>
      </c>
      <c r="F91" s="3">
        <f t="shared" si="2"/>
        <v>1</v>
      </c>
      <c r="G91" t="str">
        <f t="shared" si="3"/>
        <v>Ciencia</v>
      </c>
    </row>
    <row r="92" spans="1:7" x14ac:dyDescent="0.25">
      <c r="A92" t="s">
        <v>486</v>
      </c>
      <c r="B92" t="s">
        <v>487</v>
      </c>
      <c r="C92" s="3" t="str">
        <f>IF(COUNTIF(ciencia!$B:$B,$B92)&gt;0,"Sí","")</f>
        <v>Sí</v>
      </c>
      <c r="D92" s="3" t="str">
        <f>IF(COUNTIF(ia!$B:$B,$B92)&gt;0,"Sí","")</f>
        <v/>
      </c>
      <c r="E92" s="3" t="str">
        <f>IF(COUNTIF(graficas!$B:$B,$B92)&gt;0,"Sí","")</f>
        <v/>
      </c>
      <c r="F92" s="3">
        <f t="shared" si="2"/>
        <v>1</v>
      </c>
      <c r="G92" t="str">
        <f t="shared" si="3"/>
        <v>Ciencia</v>
      </c>
    </row>
    <row r="93" spans="1:7" x14ac:dyDescent="0.25">
      <c r="A93" t="s">
        <v>70</v>
      </c>
      <c r="B93" t="s">
        <v>71</v>
      </c>
      <c r="C93" s="3" t="str">
        <f>IF(COUNTIF(ciencia!$B:$B,$B93)&gt;0,"Sí","")</f>
        <v>Sí</v>
      </c>
      <c r="D93" s="3" t="str">
        <f>IF(COUNTIF(ia!$B:$B,$B93)&gt;0,"Sí","")</f>
        <v/>
      </c>
      <c r="E93" s="3" t="str">
        <f>IF(COUNTIF(graficas!$B:$B,$B93)&gt;0,"Sí","")</f>
        <v>Sí</v>
      </c>
      <c r="F93" s="3">
        <f t="shared" si="2"/>
        <v>2</v>
      </c>
      <c r="G93" t="str">
        <f t="shared" si="3"/>
        <v>Ciencia, Gráficas</v>
      </c>
    </row>
    <row r="94" spans="1:7" x14ac:dyDescent="0.25">
      <c r="A94" t="s">
        <v>488</v>
      </c>
      <c r="B94" t="s">
        <v>489</v>
      </c>
      <c r="C94" s="3" t="str">
        <f>IF(COUNTIF(ciencia!$B:$B,$B94)&gt;0,"Sí","")</f>
        <v>Sí</v>
      </c>
      <c r="D94" s="3" t="str">
        <f>IF(COUNTIF(ia!$B:$B,$B94)&gt;0,"Sí","")</f>
        <v/>
      </c>
      <c r="E94" s="3" t="str">
        <f>IF(COUNTIF(graficas!$B:$B,$B94)&gt;0,"Sí","")</f>
        <v/>
      </c>
      <c r="F94" s="3">
        <f t="shared" si="2"/>
        <v>1</v>
      </c>
      <c r="G94" t="str">
        <f t="shared" si="3"/>
        <v>Ciencia</v>
      </c>
    </row>
    <row r="95" spans="1:7" x14ac:dyDescent="0.25">
      <c r="A95" t="s">
        <v>490</v>
      </c>
      <c r="B95" t="s">
        <v>491</v>
      </c>
      <c r="C95" s="3" t="str">
        <f>IF(COUNTIF(ciencia!$B:$B,$B95)&gt;0,"Sí","")</f>
        <v>Sí</v>
      </c>
      <c r="D95" s="3" t="str">
        <f>IF(COUNTIF(ia!$B:$B,$B95)&gt;0,"Sí","")</f>
        <v/>
      </c>
      <c r="E95" s="3" t="str">
        <f>IF(COUNTIF(graficas!$B:$B,$B95)&gt;0,"Sí","")</f>
        <v/>
      </c>
      <c r="F95" s="3">
        <f t="shared" si="2"/>
        <v>1</v>
      </c>
      <c r="G95" t="str">
        <f t="shared" si="3"/>
        <v>Ciencia</v>
      </c>
    </row>
    <row r="96" spans="1:7" x14ac:dyDescent="0.25">
      <c r="A96" t="s">
        <v>492</v>
      </c>
      <c r="B96" t="s">
        <v>493</v>
      </c>
      <c r="C96" s="3" t="str">
        <f>IF(COUNTIF(ciencia!$B:$B,$B96)&gt;0,"Sí","")</f>
        <v>Sí</v>
      </c>
      <c r="D96" s="3" t="str">
        <f>IF(COUNTIF(ia!$B:$B,$B96)&gt;0,"Sí","")</f>
        <v/>
      </c>
      <c r="E96" s="3" t="str">
        <f>IF(COUNTIF(graficas!$B:$B,$B96)&gt;0,"Sí","")</f>
        <v/>
      </c>
      <c r="F96" s="3">
        <f t="shared" si="2"/>
        <v>1</v>
      </c>
      <c r="G96" t="str">
        <f t="shared" si="3"/>
        <v>Ciencia</v>
      </c>
    </row>
    <row r="97" spans="1:7" x14ac:dyDescent="0.25">
      <c r="A97" t="s">
        <v>28</v>
      </c>
      <c r="B97" t="s">
        <v>29</v>
      </c>
      <c r="C97" s="3" t="str">
        <f>IF(COUNTIF(ciencia!$B:$B,$B97)&gt;0,"Sí","")</f>
        <v>Sí</v>
      </c>
      <c r="D97" s="3" t="str">
        <f>IF(COUNTIF(ia!$B:$B,$B97)&gt;0,"Sí","")</f>
        <v/>
      </c>
      <c r="E97" s="3" t="str">
        <f>IF(COUNTIF(graficas!$B:$B,$B97)&gt;0,"Sí","")</f>
        <v>Sí</v>
      </c>
      <c r="F97" s="3">
        <f t="shared" si="2"/>
        <v>2</v>
      </c>
      <c r="G97" t="str">
        <f t="shared" si="3"/>
        <v>Ciencia, Gráficas</v>
      </c>
    </row>
    <row r="98" spans="1:7" x14ac:dyDescent="0.25">
      <c r="A98" t="s">
        <v>494</v>
      </c>
      <c r="B98" t="s">
        <v>495</v>
      </c>
      <c r="C98" s="3" t="str">
        <f>IF(COUNTIF(ciencia!$B:$B,$B98)&gt;0,"Sí","")</f>
        <v>Sí</v>
      </c>
      <c r="D98" s="3" t="str">
        <f>IF(COUNTIF(ia!$B:$B,$B98)&gt;0,"Sí","")</f>
        <v/>
      </c>
      <c r="E98" s="3" t="str">
        <f>IF(COUNTIF(graficas!$B:$B,$B98)&gt;0,"Sí","")</f>
        <v/>
      </c>
      <c r="F98" s="3">
        <f t="shared" si="2"/>
        <v>1</v>
      </c>
      <c r="G98" t="str">
        <f t="shared" si="3"/>
        <v>Ciencia</v>
      </c>
    </row>
    <row r="99" spans="1:7" x14ac:dyDescent="0.25">
      <c r="A99" t="s">
        <v>32</v>
      </c>
      <c r="B99" t="s">
        <v>33</v>
      </c>
      <c r="C99" s="3" t="str">
        <f>IF(COUNTIF(ciencia!$B:$B,$B99)&gt;0,"Sí","")</f>
        <v>Sí</v>
      </c>
      <c r="D99" s="3" t="str">
        <f>IF(COUNTIF(ia!$B:$B,$B99)&gt;0,"Sí","")</f>
        <v>Sí</v>
      </c>
      <c r="E99" s="3" t="str">
        <f>IF(COUNTIF(graficas!$B:$B,$B99)&gt;0,"Sí","")</f>
        <v>Sí</v>
      </c>
      <c r="F99" s="3">
        <f t="shared" si="2"/>
        <v>3</v>
      </c>
      <c r="G99" t="str">
        <f t="shared" si="3"/>
        <v>Ciencia, IA, Gráficas</v>
      </c>
    </row>
    <row r="100" spans="1:7" x14ac:dyDescent="0.25">
      <c r="A100" t="s">
        <v>496</v>
      </c>
      <c r="B100" t="s">
        <v>497</v>
      </c>
      <c r="C100" s="3" t="str">
        <f>IF(COUNTIF(ciencia!$B:$B,$B100)&gt;0,"Sí","")</f>
        <v>Sí</v>
      </c>
      <c r="D100" s="3" t="str">
        <f>IF(COUNTIF(ia!$B:$B,$B100)&gt;0,"Sí","")</f>
        <v/>
      </c>
      <c r="E100" s="3" t="str">
        <f>IF(COUNTIF(graficas!$B:$B,$B100)&gt;0,"Sí","")</f>
        <v/>
      </c>
      <c r="F100" s="3">
        <f t="shared" si="2"/>
        <v>1</v>
      </c>
      <c r="G100" t="str">
        <f t="shared" si="3"/>
        <v>Ciencia</v>
      </c>
    </row>
    <row r="101" spans="1:7" x14ac:dyDescent="0.25">
      <c r="A101" t="s">
        <v>498</v>
      </c>
      <c r="B101" t="s">
        <v>499</v>
      </c>
      <c r="C101" s="3" t="str">
        <f>IF(COUNTIF(ciencia!$B:$B,$B101)&gt;0,"Sí","")</f>
        <v>Sí</v>
      </c>
      <c r="D101" s="3" t="str">
        <f>IF(COUNTIF(ia!$B:$B,$B101)&gt;0,"Sí","")</f>
        <v/>
      </c>
      <c r="E101" s="3" t="str">
        <f>IF(COUNTIF(graficas!$B:$B,$B101)&gt;0,"Sí","")</f>
        <v/>
      </c>
      <c r="F101" s="3">
        <f t="shared" si="2"/>
        <v>1</v>
      </c>
      <c r="G101" t="str">
        <f t="shared" si="3"/>
        <v>Ciencia</v>
      </c>
    </row>
    <row r="102" spans="1:7" x14ac:dyDescent="0.25">
      <c r="A102" t="s">
        <v>500</v>
      </c>
      <c r="B102" t="s">
        <v>501</v>
      </c>
      <c r="C102" s="3" t="str">
        <f>IF(COUNTIF(ciencia!$B:$B,$B102)&gt;0,"Sí","")</f>
        <v>Sí</v>
      </c>
      <c r="D102" s="3" t="str">
        <f>IF(COUNTIF(ia!$B:$B,$B102)&gt;0,"Sí","")</f>
        <v/>
      </c>
      <c r="E102" s="3" t="str">
        <f>IF(COUNTIF(graficas!$B:$B,$B102)&gt;0,"Sí","")</f>
        <v/>
      </c>
      <c r="F102" s="3">
        <f t="shared" si="2"/>
        <v>1</v>
      </c>
      <c r="G102" t="str">
        <f t="shared" si="3"/>
        <v>Ciencia</v>
      </c>
    </row>
    <row r="103" spans="1:7" x14ac:dyDescent="0.25">
      <c r="A103" t="s">
        <v>502</v>
      </c>
      <c r="B103" t="s">
        <v>503</v>
      </c>
      <c r="C103" s="3" t="str">
        <f>IF(COUNTIF(ciencia!$B:$B,$B103)&gt;0,"Sí","")</f>
        <v>Sí</v>
      </c>
      <c r="D103" s="3" t="str">
        <f>IF(COUNTIF(ia!$B:$B,$B103)&gt;0,"Sí","")</f>
        <v/>
      </c>
      <c r="E103" s="3" t="str">
        <f>IF(COUNTIF(graficas!$B:$B,$B103)&gt;0,"Sí","")</f>
        <v/>
      </c>
      <c r="F103" s="3">
        <f t="shared" si="2"/>
        <v>1</v>
      </c>
      <c r="G103" t="str">
        <f t="shared" si="3"/>
        <v>Ciencia</v>
      </c>
    </row>
    <row r="104" spans="1:7" x14ac:dyDescent="0.25">
      <c r="A104" t="s">
        <v>504</v>
      </c>
      <c r="B104" t="s">
        <v>505</v>
      </c>
      <c r="C104" s="3" t="str">
        <f>IF(COUNTIF(ciencia!$B:$B,$B104)&gt;0,"Sí","")</f>
        <v>Sí</v>
      </c>
      <c r="D104" s="3" t="str">
        <f>IF(COUNTIF(ia!$B:$B,$B104)&gt;0,"Sí","")</f>
        <v/>
      </c>
      <c r="E104" s="3" t="str">
        <f>IF(COUNTIF(graficas!$B:$B,$B104)&gt;0,"Sí","")</f>
        <v/>
      </c>
      <c r="F104" s="3">
        <f t="shared" si="2"/>
        <v>1</v>
      </c>
      <c r="G104" t="str">
        <f t="shared" si="3"/>
        <v>Ciencia</v>
      </c>
    </row>
    <row r="105" spans="1:7" x14ac:dyDescent="0.25">
      <c r="A105" t="s">
        <v>506</v>
      </c>
      <c r="B105" t="s">
        <v>507</v>
      </c>
      <c r="C105" s="3" t="str">
        <f>IF(COUNTIF(ciencia!$B:$B,$B105)&gt;0,"Sí","")</f>
        <v>Sí</v>
      </c>
      <c r="D105" s="3" t="str">
        <f>IF(COUNTIF(ia!$B:$B,$B105)&gt;0,"Sí","")</f>
        <v/>
      </c>
      <c r="E105" s="3" t="str">
        <f>IF(COUNTIF(graficas!$B:$B,$B105)&gt;0,"Sí","")</f>
        <v/>
      </c>
      <c r="F105" s="3">
        <f t="shared" si="2"/>
        <v>1</v>
      </c>
      <c r="G105" t="str">
        <f t="shared" si="3"/>
        <v>Ciencia</v>
      </c>
    </row>
    <row r="106" spans="1:7" x14ac:dyDescent="0.25">
      <c r="A106" t="s">
        <v>508</v>
      </c>
      <c r="B106" t="s">
        <v>509</v>
      </c>
      <c r="C106" s="3" t="str">
        <f>IF(COUNTIF(ciencia!$B:$B,$B106)&gt;0,"Sí","")</f>
        <v>Sí</v>
      </c>
      <c r="D106" s="3" t="str">
        <f>IF(COUNTIF(ia!$B:$B,$B106)&gt;0,"Sí","")</f>
        <v/>
      </c>
      <c r="E106" s="3" t="str">
        <f>IF(COUNTIF(graficas!$B:$B,$B106)&gt;0,"Sí","")</f>
        <v/>
      </c>
      <c r="F106" s="3">
        <f t="shared" si="2"/>
        <v>1</v>
      </c>
      <c r="G106" t="str">
        <f t="shared" si="3"/>
        <v>Ciencia</v>
      </c>
    </row>
    <row r="107" spans="1:7" x14ac:dyDescent="0.25">
      <c r="A107" t="s">
        <v>510</v>
      </c>
      <c r="B107" t="s">
        <v>511</v>
      </c>
      <c r="C107" s="3" t="str">
        <f>IF(COUNTIF(ciencia!$B:$B,$B107)&gt;0,"Sí","")</f>
        <v>Sí</v>
      </c>
      <c r="D107" s="3" t="str">
        <f>IF(COUNTIF(ia!$B:$B,$B107)&gt;0,"Sí","")</f>
        <v/>
      </c>
      <c r="E107" s="3" t="str">
        <f>IF(COUNTIF(graficas!$B:$B,$B107)&gt;0,"Sí","")</f>
        <v/>
      </c>
      <c r="F107" s="3">
        <f t="shared" si="2"/>
        <v>1</v>
      </c>
      <c r="G107" t="str">
        <f t="shared" si="3"/>
        <v>Ciencia</v>
      </c>
    </row>
    <row r="108" spans="1:7" x14ac:dyDescent="0.25">
      <c r="A108" t="s">
        <v>512</v>
      </c>
      <c r="B108" t="s">
        <v>513</v>
      </c>
      <c r="C108" s="3" t="str">
        <f>IF(COUNTIF(ciencia!$B:$B,$B108)&gt;0,"Sí","")</f>
        <v>Sí</v>
      </c>
      <c r="D108" s="3" t="str">
        <f>IF(COUNTIF(ia!$B:$B,$B108)&gt;0,"Sí","")</f>
        <v/>
      </c>
      <c r="E108" s="3" t="str">
        <f>IF(COUNTIF(graficas!$B:$B,$B108)&gt;0,"Sí","")</f>
        <v/>
      </c>
      <c r="F108" s="3">
        <f t="shared" si="2"/>
        <v>1</v>
      </c>
      <c r="G108" t="str">
        <f t="shared" si="3"/>
        <v>Ciencia</v>
      </c>
    </row>
    <row r="109" spans="1:7" x14ac:dyDescent="0.25">
      <c r="A109" t="s">
        <v>514</v>
      </c>
      <c r="B109" t="s">
        <v>515</v>
      </c>
      <c r="C109" s="3" t="str">
        <f>IF(COUNTIF(ciencia!$B:$B,$B109)&gt;0,"Sí","")</f>
        <v>Sí</v>
      </c>
      <c r="D109" s="3" t="str">
        <f>IF(COUNTIF(ia!$B:$B,$B109)&gt;0,"Sí","")</f>
        <v/>
      </c>
      <c r="E109" s="3" t="str">
        <f>IF(COUNTIF(graficas!$B:$B,$B109)&gt;0,"Sí","")</f>
        <v/>
      </c>
      <c r="F109" s="3">
        <f t="shared" si="2"/>
        <v>1</v>
      </c>
      <c r="G109" t="str">
        <f t="shared" si="3"/>
        <v>Ciencia</v>
      </c>
    </row>
    <row r="110" spans="1:7" x14ac:dyDescent="0.25">
      <c r="A110" t="s">
        <v>516</v>
      </c>
      <c r="B110" t="s">
        <v>517</v>
      </c>
      <c r="C110" s="3" t="str">
        <f>IF(COUNTIF(ciencia!$B:$B,$B110)&gt;0,"Sí","")</f>
        <v>Sí</v>
      </c>
      <c r="D110" s="3" t="str">
        <f>IF(COUNTIF(ia!$B:$B,$B110)&gt;0,"Sí","")</f>
        <v/>
      </c>
      <c r="E110" s="3" t="str">
        <f>IF(COUNTIF(graficas!$B:$B,$B110)&gt;0,"Sí","")</f>
        <v/>
      </c>
      <c r="F110" s="3">
        <f t="shared" si="2"/>
        <v>1</v>
      </c>
      <c r="G110" t="str">
        <f t="shared" si="3"/>
        <v>Ciencia</v>
      </c>
    </row>
    <row r="111" spans="1:7" x14ac:dyDescent="0.25">
      <c r="A111" t="s">
        <v>518</v>
      </c>
      <c r="B111" t="s">
        <v>519</v>
      </c>
      <c r="C111" s="3" t="str">
        <f>IF(COUNTIF(ciencia!$B:$B,$B111)&gt;0,"Sí","")</f>
        <v>Sí</v>
      </c>
      <c r="D111" s="3" t="str">
        <f>IF(COUNTIF(ia!$B:$B,$B111)&gt;0,"Sí","")</f>
        <v/>
      </c>
      <c r="E111" s="3" t="str">
        <f>IF(COUNTIF(graficas!$B:$B,$B111)&gt;0,"Sí","")</f>
        <v/>
      </c>
      <c r="F111" s="3">
        <f t="shared" si="2"/>
        <v>1</v>
      </c>
      <c r="G111" t="str">
        <f t="shared" si="3"/>
        <v>Ciencia</v>
      </c>
    </row>
    <row r="112" spans="1:7" x14ac:dyDescent="0.25">
      <c r="A112" t="s">
        <v>520</v>
      </c>
      <c r="B112" t="s">
        <v>521</v>
      </c>
      <c r="C112" s="3" t="str">
        <f>IF(COUNTIF(ciencia!$B:$B,$B112)&gt;0,"Sí","")</f>
        <v>Sí</v>
      </c>
      <c r="D112" s="3" t="str">
        <f>IF(COUNTIF(ia!$B:$B,$B112)&gt;0,"Sí","")</f>
        <v/>
      </c>
      <c r="E112" s="3" t="str">
        <f>IF(COUNTIF(graficas!$B:$B,$B112)&gt;0,"Sí","")</f>
        <v/>
      </c>
      <c r="F112" s="3">
        <f t="shared" si="2"/>
        <v>1</v>
      </c>
      <c r="G112" t="str">
        <f t="shared" si="3"/>
        <v>Ciencia</v>
      </c>
    </row>
    <row r="113" spans="1:7" x14ac:dyDescent="0.25">
      <c r="A113" t="s">
        <v>522</v>
      </c>
      <c r="B113" t="s">
        <v>523</v>
      </c>
      <c r="C113" s="3" t="str">
        <f>IF(COUNTIF(ciencia!$B:$B,$B113)&gt;0,"Sí","")</f>
        <v>Sí</v>
      </c>
      <c r="D113" s="3" t="str">
        <f>IF(COUNTIF(ia!$B:$B,$B113)&gt;0,"Sí","")</f>
        <v/>
      </c>
      <c r="E113" s="3" t="str">
        <f>IF(COUNTIF(graficas!$B:$B,$B113)&gt;0,"Sí","")</f>
        <v/>
      </c>
      <c r="F113" s="3">
        <f t="shared" si="2"/>
        <v>1</v>
      </c>
      <c r="G113" t="str">
        <f t="shared" si="3"/>
        <v>Ciencia</v>
      </c>
    </row>
    <row r="114" spans="1:7" x14ac:dyDescent="0.25">
      <c r="A114" t="s">
        <v>524</v>
      </c>
      <c r="B114" t="s">
        <v>525</v>
      </c>
      <c r="C114" s="3" t="str">
        <f>IF(COUNTIF(ciencia!$B:$B,$B114)&gt;0,"Sí","")</f>
        <v>Sí</v>
      </c>
      <c r="D114" s="3" t="str">
        <f>IF(COUNTIF(ia!$B:$B,$B114)&gt;0,"Sí","")</f>
        <v/>
      </c>
      <c r="E114" s="3" t="str">
        <f>IF(COUNTIF(graficas!$B:$B,$B114)&gt;0,"Sí","")</f>
        <v/>
      </c>
      <c r="F114" s="3">
        <f t="shared" si="2"/>
        <v>1</v>
      </c>
      <c r="G114" t="str">
        <f t="shared" si="3"/>
        <v>Ciencia</v>
      </c>
    </row>
    <row r="115" spans="1:7" x14ac:dyDescent="0.25">
      <c r="A115" t="s">
        <v>526</v>
      </c>
      <c r="B115" t="s">
        <v>527</v>
      </c>
      <c r="C115" s="3" t="str">
        <f>IF(COUNTIF(ciencia!$B:$B,$B115)&gt;0,"Sí","")</f>
        <v>Sí</v>
      </c>
      <c r="D115" s="3" t="str">
        <f>IF(COUNTIF(ia!$B:$B,$B115)&gt;0,"Sí","")</f>
        <v/>
      </c>
      <c r="E115" s="3" t="str">
        <f>IF(COUNTIF(graficas!$B:$B,$B115)&gt;0,"Sí","")</f>
        <v/>
      </c>
      <c r="F115" s="3">
        <f t="shared" si="2"/>
        <v>1</v>
      </c>
      <c r="G115" t="str">
        <f t="shared" si="3"/>
        <v>Ciencia</v>
      </c>
    </row>
    <row r="116" spans="1:7" x14ac:dyDescent="0.25">
      <c r="A116" t="s">
        <v>528</v>
      </c>
      <c r="B116" t="s">
        <v>529</v>
      </c>
      <c r="C116" s="3" t="str">
        <f>IF(COUNTIF(ciencia!$B:$B,$B116)&gt;0,"Sí","")</f>
        <v>Sí</v>
      </c>
      <c r="D116" s="3" t="str">
        <f>IF(COUNTIF(ia!$B:$B,$B116)&gt;0,"Sí","")</f>
        <v/>
      </c>
      <c r="E116" s="3" t="str">
        <f>IF(COUNTIF(graficas!$B:$B,$B116)&gt;0,"Sí","")</f>
        <v/>
      </c>
      <c r="F116" s="3">
        <f t="shared" si="2"/>
        <v>1</v>
      </c>
      <c r="G116" t="str">
        <f t="shared" si="3"/>
        <v>Ciencia</v>
      </c>
    </row>
    <row r="117" spans="1:7" x14ac:dyDescent="0.25">
      <c r="A117" t="s">
        <v>226</v>
      </c>
      <c r="B117" t="s">
        <v>227</v>
      </c>
      <c r="C117" s="3" t="str">
        <f>IF(COUNTIF(ciencia!$B:$B,$B117)&gt;0,"Sí","")</f>
        <v>Sí</v>
      </c>
      <c r="D117" s="3" t="str">
        <f>IF(COUNTIF(ia!$B:$B,$B117)&gt;0,"Sí","")</f>
        <v>Sí</v>
      </c>
      <c r="E117" s="3" t="str">
        <f>IF(COUNTIF(graficas!$B:$B,$B117)&gt;0,"Sí","")</f>
        <v/>
      </c>
      <c r="F117" s="3">
        <f t="shared" si="2"/>
        <v>2</v>
      </c>
      <c r="G117" t="str">
        <f t="shared" si="3"/>
        <v>Ciencia, IA</v>
      </c>
    </row>
    <row r="118" spans="1:7" x14ac:dyDescent="0.25">
      <c r="A118" t="s">
        <v>530</v>
      </c>
      <c r="B118" t="s">
        <v>531</v>
      </c>
      <c r="C118" s="3" t="str">
        <f>IF(COUNTIF(ciencia!$B:$B,$B118)&gt;0,"Sí","")</f>
        <v>Sí</v>
      </c>
      <c r="D118" s="3" t="str">
        <f>IF(COUNTIF(ia!$B:$B,$B118)&gt;0,"Sí","")</f>
        <v/>
      </c>
      <c r="E118" s="3" t="str">
        <f>IF(COUNTIF(graficas!$B:$B,$B118)&gt;0,"Sí","")</f>
        <v/>
      </c>
      <c r="F118" s="3">
        <f t="shared" si="2"/>
        <v>1</v>
      </c>
      <c r="G118" t="str">
        <f t="shared" si="3"/>
        <v>Ciencia</v>
      </c>
    </row>
    <row r="119" spans="1:7" x14ac:dyDescent="0.25">
      <c r="A119" t="s">
        <v>532</v>
      </c>
      <c r="B119" t="s">
        <v>533</v>
      </c>
      <c r="C119" s="3" t="str">
        <f>IF(COUNTIF(ciencia!$B:$B,$B119)&gt;0,"Sí","")</f>
        <v>Sí</v>
      </c>
      <c r="D119" s="3" t="str">
        <f>IF(COUNTIF(ia!$B:$B,$B119)&gt;0,"Sí","")</f>
        <v/>
      </c>
      <c r="E119" s="3" t="str">
        <f>IF(COUNTIF(graficas!$B:$B,$B119)&gt;0,"Sí","")</f>
        <v/>
      </c>
      <c r="F119" s="3">
        <f t="shared" si="2"/>
        <v>1</v>
      </c>
      <c r="G119" t="str">
        <f t="shared" si="3"/>
        <v>Ciencia</v>
      </c>
    </row>
    <row r="120" spans="1:7" x14ac:dyDescent="0.25">
      <c r="A120" t="s">
        <v>534</v>
      </c>
      <c r="B120" t="s">
        <v>535</v>
      </c>
      <c r="C120" s="3" t="str">
        <f>IF(COUNTIF(ciencia!$B:$B,$B120)&gt;0,"Sí","")</f>
        <v>Sí</v>
      </c>
      <c r="D120" s="3" t="str">
        <f>IF(COUNTIF(ia!$B:$B,$B120)&gt;0,"Sí","")</f>
        <v/>
      </c>
      <c r="E120" s="3" t="str">
        <f>IF(COUNTIF(graficas!$B:$B,$B120)&gt;0,"Sí","")</f>
        <v/>
      </c>
      <c r="F120" s="3">
        <f t="shared" si="2"/>
        <v>1</v>
      </c>
      <c r="G120" t="str">
        <f t="shared" si="3"/>
        <v>Ciencia</v>
      </c>
    </row>
    <row r="121" spans="1:7" x14ac:dyDescent="0.25">
      <c r="A121" t="s">
        <v>536</v>
      </c>
      <c r="B121" t="s">
        <v>537</v>
      </c>
      <c r="C121" s="3" t="str">
        <f>IF(COUNTIF(ciencia!$B:$B,$B121)&gt;0,"Sí","")</f>
        <v>Sí</v>
      </c>
      <c r="D121" s="3" t="str">
        <f>IF(COUNTIF(ia!$B:$B,$B121)&gt;0,"Sí","")</f>
        <v/>
      </c>
      <c r="E121" s="3" t="str">
        <f>IF(COUNTIF(graficas!$B:$B,$B121)&gt;0,"Sí","")</f>
        <v/>
      </c>
      <c r="F121" s="3">
        <f t="shared" si="2"/>
        <v>1</v>
      </c>
      <c r="G121" t="str">
        <f t="shared" si="3"/>
        <v>Ciencia</v>
      </c>
    </row>
    <row r="122" spans="1:7" x14ac:dyDescent="0.25">
      <c r="A122" t="s">
        <v>538</v>
      </c>
      <c r="B122" t="s">
        <v>539</v>
      </c>
      <c r="C122" s="3" t="str">
        <f>IF(COUNTIF(ciencia!$B:$B,$B122)&gt;0,"Sí","")</f>
        <v>Sí</v>
      </c>
      <c r="D122" s="3" t="str">
        <f>IF(COUNTIF(ia!$B:$B,$B122)&gt;0,"Sí","")</f>
        <v/>
      </c>
      <c r="E122" s="3" t="str">
        <f>IF(COUNTIF(graficas!$B:$B,$B122)&gt;0,"Sí","")</f>
        <v/>
      </c>
      <c r="F122" s="3">
        <f t="shared" si="2"/>
        <v>1</v>
      </c>
      <c r="G122" t="str">
        <f t="shared" si="3"/>
        <v>Ciencia</v>
      </c>
    </row>
    <row r="123" spans="1:7" x14ac:dyDescent="0.25">
      <c r="A123" t="s">
        <v>64</v>
      </c>
      <c r="B123" t="s">
        <v>65</v>
      </c>
      <c r="C123" s="3" t="str">
        <f>IF(COUNTIF(ciencia!$B:$B,$B123)&gt;0,"Sí","")</f>
        <v>Sí</v>
      </c>
      <c r="D123" s="3" t="str">
        <f>IF(COUNTIF(ia!$B:$B,$B123)&gt;0,"Sí","")</f>
        <v>Sí</v>
      </c>
      <c r="E123" s="3" t="str">
        <f>IF(COUNTIF(graficas!$B:$B,$B123)&gt;0,"Sí","")</f>
        <v>Sí</v>
      </c>
      <c r="F123" s="3">
        <f t="shared" si="2"/>
        <v>3</v>
      </c>
      <c r="G123" t="str">
        <f t="shared" si="3"/>
        <v>Ciencia, IA, Gráficas</v>
      </c>
    </row>
    <row r="124" spans="1:7" x14ac:dyDescent="0.25">
      <c r="A124" t="s">
        <v>300</v>
      </c>
      <c r="B124" t="s">
        <v>301</v>
      </c>
      <c r="C124" s="3" t="str">
        <f>IF(COUNTIF(ciencia!$B:$B,$B124)&gt;0,"Sí","")</f>
        <v>Sí</v>
      </c>
      <c r="D124" s="3" t="str">
        <f>IF(COUNTIF(ia!$B:$B,$B124)&gt;0,"Sí","")</f>
        <v>Sí</v>
      </c>
      <c r="E124" s="3" t="str">
        <f>IF(COUNTIF(graficas!$B:$B,$B124)&gt;0,"Sí","")</f>
        <v/>
      </c>
      <c r="F124" s="3">
        <f t="shared" si="2"/>
        <v>2</v>
      </c>
      <c r="G124" t="str">
        <f t="shared" si="3"/>
        <v>Ciencia, IA</v>
      </c>
    </row>
    <row r="125" spans="1:7" x14ac:dyDescent="0.25">
      <c r="A125" t="s">
        <v>540</v>
      </c>
      <c r="B125" t="s">
        <v>541</v>
      </c>
      <c r="C125" s="3" t="str">
        <f>IF(COUNTIF(ciencia!$B:$B,$B125)&gt;0,"Sí","")</f>
        <v>Sí</v>
      </c>
      <c r="D125" s="3" t="str">
        <f>IF(COUNTIF(ia!$B:$B,$B125)&gt;0,"Sí","")</f>
        <v/>
      </c>
      <c r="E125" s="3" t="str">
        <f>IF(COUNTIF(graficas!$B:$B,$B125)&gt;0,"Sí","")</f>
        <v/>
      </c>
      <c r="F125" s="3">
        <f t="shared" si="2"/>
        <v>1</v>
      </c>
      <c r="G125" t="str">
        <f t="shared" si="3"/>
        <v>Ciencia</v>
      </c>
    </row>
    <row r="126" spans="1:7" x14ac:dyDescent="0.25">
      <c r="A126" t="s">
        <v>542</v>
      </c>
      <c r="B126" t="s">
        <v>543</v>
      </c>
      <c r="C126" s="3" t="str">
        <f>IF(COUNTIF(ciencia!$B:$B,$B126)&gt;0,"Sí","")</f>
        <v>Sí</v>
      </c>
      <c r="D126" s="3" t="str">
        <f>IF(COUNTIF(ia!$B:$B,$B126)&gt;0,"Sí","")</f>
        <v/>
      </c>
      <c r="E126" s="3" t="str">
        <f>IF(COUNTIF(graficas!$B:$B,$B126)&gt;0,"Sí","")</f>
        <v/>
      </c>
      <c r="F126" s="3">
        <f t="shared" si="2"/>
        <v>1</v>
      </c>
      <c r="G126" t="str">
        <f t="shared" si="3"/>
        <v>Ciencia</v>
      </c>
    </row>
    <row r="127" spans="1:7" x14ac:dyDescent="0.25">
      <c r="A127" t="s">
        <v>290</v>
      </c>
      <c r="B127" t="s">
        <v>291</v>
      </c>
      <c r="C127" s="3" t="str">
        <f>IF(COUNTIF(ciencia!$B:$B,$B127)&gt;0,"Sí","")</f>
        <v>Sí</v>
      </c>
      <c r="D127" s="3" t="str">
        <f>IF(COUNTIF(ia!$B:$B,$B127)&gt;0,"Sí","")</f>
        <v>Sí</v>
      </c>
      <c r="E127" s="3" t="str">
        <f>IF(COUNTIF(graficas!$B:$B,$B127)&gt;0,"Sí","")</f>
        <v/>
      </c>
      <c r="F127" s="3">
        <f t="shared" si="2"/>
        <v>2</v>
      </c>
      <c r="G127" t="str">
        <f t="shared" si="3"/>
        <v>Ciencia, IA</v>
      </c>
    </row>
    <row r="128" spans="1:7" x14ac:dyDescent="0.25">
      <c r="A128" t="s">
        <v>218</v>
      </c>
      <c r="B128" t="s">
        <v>219</v>
      </c>
      <c r="C128" s="3" t="str">
        <f>IF(COUNTIF(ciencia!$B:$B,$B128)&gt;0,"Sí","")</f>
        <v>Sí</v>
      </c>
      <c r="D128" s="3" t="str">
        <f>IF(COUNTIF(ia!$B:$B,$B128)&gt;0,"Sí","")</f>
        <v>Sí</v>
      </c>
      <c r="E128" s="3" t="str">
        <f>IF(COUNTIF(graficas!$B:$B,$B128)&gt;0,"Sí","")</f>
        <v/>
      </c>
      <c r="F128" s="3">
        <f t="shared" si="2"/>
        <v>2</v>
      </c>
      <c r="G128" t="str">
        <f t="shared" si="3"/>
        <v>Ciencia, IA</v>
      </c>
    </row>
    <row r="129" spans="1:7" x14ac:dyDescent="0.25">
      <c r="A129" t="s">
        <v>544</v>
      </c>
      <c r="B129" t="s">
        <v>545</v>
      </c>
      <c r="C129" s="3" t="str">
        <f>IF(COUNTIF(ciencia!$B:$B,$B129)&gt;0,"Sí","")</f>
        <v>Sí</v>
      </c>
      <c r="D129" s="3" t="str">
        <f>IF(COUNTIF(ia!$B:$B,$B129)&gt;0,"Sí","")</f>
        <v/>
      </c>
      <c r="E129" s="3" t="str">
        <f>IF(COUNTIF(graficas!$B:$B,$B129)&gt;0,"Sí","")</f>
        <v/>
      </c>
      <c r="F129" s="3">
        <f t="shared" si="2"/>
        <v>1</v>
      </c>
      <c r="G129" t="str">
        <f t="shared" si="3"/>
        <v>Ciencia</v>
      </c>
    </row>
    <row r="130" spans="1:7" x14ac:dyDescent="0.25">
      <c r="A130" t="s">
        <v>546</v>
      </c>
      <c r="B130" t="s">
        <v>547</v>
      </c>
      <c r="C130" s="3" t="str">
        <f>IF(COUNTIF(ciencia!$B:$B,$B130)&gt;0,"Sí","")</f>
        <v>Sí</v>
      </c>
      <c r="D130" s="3" t="str">
        <f>IF(COUNTIF(ia!$B:$B,$B130)&gt;0,"Sí","")</f>
        <v/>
      </c>
      <c r="E130" s="3" t="str">
        <f>IF(COUNTIF(graficas!$B:$B,$B130)&gt;0,"Sí","")</f>
        <v/>
      </c>
      <c r="F130" s="3">
        <f t="shared" si="2"/>
        <v>1</v>
      </c>
      <c r="G130" t="str">
        <f t="shared" si="3"/>
        <v>Ciencia</v>
      </c>
    </row>
    <row r="131" spans="1:7" x14ac:dyDescent="0.25">
      <c r="A131" t="s">
        <v>548</v>
      </c>
      <c r="B131" t="s">
        <v>549</v>
      </c>
      <c r="C131" s="3" t="str">
        <f>IF(COUNTIF(ciencia!$B:$B,$B131)&gt;0,"Sí","")</f>
        <v>Sí</v>
      </c>
      <c r="D131" s="3" t="str">
        <f>IF(COUNTIF(ia!$B:$B,$B131)&gt;0,"Sí","")</f>
        <v/>
      </c>
      <c r="E131" s="3" t="str">
        <f>IF(COUNTIF(graficas!$B:$B,$B131)&gt;0,"Sí","")</f>
        <v/>
      </c>
      <c r="F131" s="3">
        <f t="shared" ref="F131:F194" si="4">COUNTIF(C131:E131,"Sí")</f>
        <v>1</v>
      </c>
      <c r="G131" t="str">
        <f t="shared" ref="G131:G194" si="5">_xlfn.TEXTJOIN(", ",TRUE,IF(C131="Sí","Ciencia",""),IF(D131="Sí","IA",""),IF(E131="Sí","Gráficas",""))</f>
        <v>Ciencia</v>
      </c>
    </row>
    <row r="132" spans="1:7" x14ac:dyDescent="0.25">
      <c r="A132" t="s">
        <v>550</v>
      </c>
      <c r="B132" t="s">
        <v>551</v>
      </c>
      <c r="C132" s="3" t="str">
        <f>IF(COUNTIF(ciencia!$B:$B,$B132)&gt;0,"Sí","")</f>
        <v>Sí</v>
      </c>
      <c r="D132" s="3" t="str">
        <f>IF(COUNTIF(ia!$B:$B,$B132)&gt;0,"Sí","")</f>
        <v/>
      </c>
      <c r="E132" s="3" t="str">
        <f>IF(COUNTIF(graficas!$B:$B,$B132)&gt;0,"Sí","")</f>
        <v/>
      </c>
      <c r="F132" s="3">
        <f t="shared" si="4"/>
        <v>1</v>
      </c>
      <c r="G132" t="str">
        <f t="shared" si="5"/>
        <v>Ciencia</v>
      </c>
    </row>
    <row r="133" spans="1:7" x14ac:dyDescent="0.25">
      <c r="A133" t="s">
        <v>552</v>
      </c>
      <c r="B133" t="s">
        <v>553</v>
      </c>
      <c r="C133" s="3" t="str">
        <f>IF(COUNTIF(ciencia!$B:$B,$B133)&gt;0,"Sí","")</f>
        <v>Sí</v>
      </c>
      <c r="D133" s="3" t="str">
        <f>IF(COUNTIF(ia!$B:$B,$B133)&gt;0,"Sí","")</f>
        <v/>
      </c>
      <c r="E133" s="3" t="str">
        <f>IF(COUNTIF(graficas!$B:$B,$B133)&gt;0,"Sí","")</f>
        <v/>
      </c>
      <c r="F133" s="3">
        <f t="shared" si="4"/>
        <v>1</v>
      </c>
      <c r="G133" t="str">
        <f t="shared" si="5"/>
        <v>Ciencia</v>
      </c>
    </row>
    <row r="134" spans="1:7" x14ac:dyDescent="0.25">
      <c r="A134" t="s">
        <v>554</v>
      </c>
      <c r="B134" t="s">
        <v>555</v>
      </c>
      <c r="C134" s="3" t="str">
        <f>IF(COUNTIF(ciencia!$B:$B,$B134)&gt;0,"Sí","")</f>
        <v>Sí</v>
      </c>
      <c r="D134" s="3" t="str">
        <f>IF(COUNTIF(ia!$B:$B,$B134)&gt;0,"Sí","")</f>
        <v/>
      </c>
      <c r="E134" s="3" t="str">
        <f>IF(COUNTIF(graficas!$B:$B,$B134)&gt;0,"Sí","")</f>
        <v/>
      </c>
      <c r="F134" s="3">
        <f t="shared" si="4"/>
        <v>1</v>
      </c>
      <c r="G134" t="str">
        <f t="shared" si="5"/>
        <v>Ciencia</v>
      </c>
    </row>
    <row r="135" spans="1:7" x14ac:dyDescent="0.25">
      <c r="A135" t="s">
        <v>42</v>
      </c>
      <c r="B135" t="s">
        <v>43</v>
      </c>
      <c r="C135" s="3" t="str">
        <f>IF(COUNTIF(ciencia!$B:$B,$B135)&gt;0,"Sí","")</f>
        <v>Sí</v>
      </c>
      <c r="D135" s="3" t="str">
        <f>IF(COUNTIF(ia!$B:$B,$B135)&gt;0,"Sí","")</f>
        <v/>
      </c>
      <c r="E135" s="3" t="str">
        <f>IF(COUNTIF(graficas!$B:$B,$B135)&gt;0,"Sí","")</f>
        <v>Sí</v>
      </c>
      <c r="F135" s="3">
        <f t="shared" si="4"/>
        <v>2</v>
      </c>
      <c r="G135" t="str">
        <f t="shared" si="5"/>
        <v>Ciencia, Gráficas</v>
      </c>
    </row>
    <row r="136" spans="1:7" x14ac:dyDescent="0.25">
      <c r="A136" t="s">
        <v>556</v>
      </c>
      <c r="B136" t="s">
        <v>557</v>
      </c>
      <c r="C136" s="3" t="str">
        <f>IF(COUNTIF(ciencia!$B:$B,$B136)&gt;0,"Sí","")</f>
        <v>Sí</v>
      </c>
      <c r="D136" s="3" t="str">
        <f>IF(COUNTIF(ia!$B:$B,$B136)&gt;0,"Sí","")</f>
        <v/>
      </c>
      <c r="E136" s="3" t="str">
        <f>IF(COUNTIF(graficas!$B:$B,$B136)&gt;0,"Sí","")</f>
        <v/>
      </c>
      <c r="F136" s="3">
        <f t="shared" si="4"/>
        <v>1</v>
      </c>
      <c r="G136" t="str">
        <f t="shared" si="5"/>
        <v>Ciencia</v>
      </c>
    </row>
    <row r="137" spans="1:7" x14ac:dyDescent="0.25">
      <c r="A137" t="s">
        <v>558</v>
      </c>
      <c r="B137" t="s">
        <v>559</v>
      </c>
      <c r="C137" s="3" t="str">
        <f>IF(COUNTIF(ciencia!$B:$B,$B137)&gt;0,"Sí","")</f>
        <v>Sí</v>
      </c>
      <c r="D137" s="3" t="str">
        <f>IF(COUNTIF(ia!$B:$B,$B137)&gt;0,"Sí","")</f>
        <v/>
      </c>
      <c r="E137" s="3" t="str">
        <f>IF(COUNTIF(graficas!$B:$B,$B137)&gt;0,"Sí","")</f>
        <v/>
      </c>
      <c r="F137" s="3">
        <f t="shared" si="4"/>
        <v>1</v>
      </c>
      <c r="G137" t="str">
        <f t="shared" si="5"/>
        <v>Ciencia</v>
      </c>
    </row>
    <row r="138" spans="1:7" x14ac:dyDescent="0.25">
      <c r="A138" t="s">
        <v>560</v>
      </c>
      <c r="B138" t="s">
        <v>561</v>
      </c>
      <c r="C138" s="3" t="str">
        <f>IF(COUNTIF(ciencia!$B:$B,$B138)&gt;0,"Sí","")</f>
        <v>Sí</v>
      </c>
      <c r="D138" s="3" t="str">
        <f>IF(COUNTIF(ia!$B:$B,$B138)&gt;0,"Sí","")</f>
        <v/>
      </c>
      <c r="E138" s="3" t="str">
        <f>IF(COUNTIF(graficas!$B:$B,$B138)&gt;0,"Sí","")</f>
        <v/>
      </c>
      <c r="F138" s="3">
        <f t="shared" si="4"/>
        <v>1</v>
      </c>
      <c r="G138" t="str">
        <f t="shared" si="5"/>
        <v>Ciencia</v>
      </c>
    </row>
    <row r="139" spans="1:7" x14ac:dyDescent="0.25">
      <c r="A139" t="s">
        <v>562</v>
      </c>
      <c r="B139" t="s">
        <v>563</v>
      </c>
      <c r="C139" s="3" t="str">
        <f>IF(COUNTIF(ciencia!$B:$B,$B139)&gt;0,"Sí","")</f>
        <v>Sí</v>
      </c>
      <c r="D139" s="3" t="str">
        <f>IF(COUNTIF(ia!$B:$B,$B139)&gt;0,"Sí","")</f>
        <v/>
      </c>
      <c r="E139" s="3" t="str">
        <f>IF(COUNTIF(graficas!$B:$B,$B139)&gt;0,"Sí","")</f>
        <v/>
      </c>
      <c r="F139" s="3">
        <f t="shared" si="4"/>
        <v>1</v>
      </c>
      <c r="G139" t="str">
        <f t="shared" si="5"/>
        <v>Ciencia</v>
      </c>
    </row>
    <row r="140" spans="1:7" x14ac:dyDescent="0.25">
      <c r="A140" t="s">
        <v>564</v>
      </c>
      <c r="B140" t="s">
        <v>565</v>
      </c>
      <c r="C140" s="3" t="str">
        <f>IF(COUNTIF(ciencia!$B:$B,$B140)&gt;0,"Sí","")</f>
        <v>Sí</v>
      </c>
      <c r="D140" s="3" t="str">
        <f>IF(COUNTIF(ia!$B:$B,$B140)&gt;0,"Sí","")</f>
        <v/>
      </c>
      <c r="E140" s="3" t="str">
        <f>IF(COUNTIF(graficas!$B:$B,$B140)&gt;0,"Sí","")</f>
        <v/>
      </c>
      <c r="F140" s="3">
        <f t="shared" si="4"/>
        <v>1</v>
      </c>
      <c r="G140" t="str">
        <f t="shared" si="5"/>
        <v>Ciencia</v>
      </c>
    </row>
    <row r="141" spans="1:7" x14ac:dyDescent="0.25">
      <c r="A141" t="s">
        <v>566</v>
      </c>
      <c r="B141" t="s">
        <v>567</v>
      </c>
      <c r="C141" s="3" t="str">
        <f>IF(COUNTIF(ciencia!$B:$B,$B141)&gt;0,"Sí","")</f>
        <v>Sí</v>
      </c>
      <c r="D141" s="3" t="str">
        <f>IF(COUNTIF(ia!$B:$B,$B141)&gt;0,"Sí","")</f>
        <v/>
      </c>
      <c r="E141" s="3" t="str">
        <f>IF(COUNTIF(graficas!$B:$B,$B141)&gt;0,"Sí","")</f>
        <v/>
      </c>
      <c r="F141" s="3">
        <f t="shared" si="4"/>
        <v>1</v>
      </c>
      <c r="G141" t="str">
        <f t="shared" si="5"/>
        <v>Ciencia</v>
      </c>
    </row>
    <row r="142" spans="1:7" x14ac:dyDescent="0.25">
      <c r="A142" t="s">
        <v>204</v>
      </c>
      <c r="B142" t="s">
        <v>205</v>
      </c>
      <c r="C142" s="3" t="str">
        <f>IF(COUNTIF(ciencia!$B:$B,$B142)&gt;0,"Sí","")</f>
        <v>Sí</v>
      </c>
      <c r="D142" s="3" t="str">
        <f>IF(COUNTIF(ia!$B:$B,$B142)&gt;0,"Sí","")</f>
        <v>Sí</v>
      </c>
      <c r="E142" s="3" t="str">
        <f>IF(COUNTIF(graficas!$B:$B,$B142)&gt;0,"Sí","")</f>
        <v/>
      </c>
      <c r="F142" s="3">
        <f t="shared" si="4"/>
        <v>2</v>
      </c>
      <c r="G142" t="str">
        <f t="shared" si="5"/>
        <v>Ciencia, IA</v>
      </c>
    </row>
    <row r="143" spans="1:7" x14ac:dyDescent="0.25">
      <c r="A143" t="s">
        <v>568</v>
      </c>
      <c r="B143" t="s">
        <v>569</v>
      </c>
      <c r="C143" s="3" t="str">
        <f>IF(COUNTIF(ciencia!$B:$B,$B143)&gt;0,"Sí","")</f>
        <v>Sí</v>
      </c>
      <c r="D143" s="3" t="str">
        <f>IF(COUNTIF(ia!$B:$B,$B143)&gt;0,"Sí","")</f>
        <v/>
      </c>
      <c r="E143" s="3" t="str">
        <f>IF(COUNTIF(graficas!$B:$B,$B143)&gt;0,"Sí","")</f>
        <v/>
      </c>
      <c r="F143" s="3">
        <f t="shared" si="4"/>
        <v>1</v>
      </c>
      <c r="G143" t="str">
        <f t="shared" si="5"/>
        <v>Ciencia</v>
      </c>
    </row>
    <row r="144" spans="1:7" x14ac:dyDescent="0.25">
      <c r="A144" t="s">
        <v>164</v>
      </c>
      <c r="B144" t="s">
        <v>570</v>
      </c>
      <c r="C144" s="3" t="str">
        <f>IF(COUNTIF(ciencia!$B:$B,$B144)&gt;0,"Sí","")</f>
        <v>Sí</v>
      </c>
      <c r="D144" s="3" t="str">
        <f>IF(COUNTIF(ia!$B:$B,$B144)&gt;0,"Sí","")</f>
        <v/>
      </c>
      <c r="E144" s="3" t="str">
        <f>IF(COUNTIF(graficas!$B:$B,$B144)&gt;0,"Sí","")</f>
        <v/>
      </c>
      <c r="F144" s="3">
        <f t="shared" si="4"/>
        <v>1</v>
      </c>
      <c r="G144" t="str">
        <f t="shared" si="5"/>
        <v>Ciencia</v>
      </c>
    </row>
    <row r="145" spans="1:7" x14ac:dyDescent="0.25">
      <c r="A145" t="s">
        <v>571</v>
      </c>
      <c r="B145" t="s">
        <v>572</v>
      </c>
      <c r="C145" s="3" t="str">
        <f>IF(COUNTIF(ciencia!$B:$B,$B145)&gt;0,"Sí","")</f>
        <v>Sí</v>
      </c>
      <c r="D145" s="3" t="str">
        <f>IF(COUNTIF(ia!$B:$B,$B145)&gt;0,"Sí","")</f>
        <v/>
      </c>
      <c r="E145" s="3" t="str">
        <f>IF(COUNTIF(graficas!$B:$B,$B145)&gt;0,"Sí","")</f>
        <v/>
      </c>
      <c r="F145" s="3">
        <f t="shared" si="4"/>
        <v>1</v>
      </c>
      <c r="G145" t="str">
        <f t="shared" si="5"/>
        <v>Ciencia</v>
      </c>
    </row>
    <row r="146" spans="1:7" x14ac:dyDescent="0.25">
      <c r="A146" t="s">
        <v>40</v>
      </c>
      <c r="B146" t="s">
        <v>41</v>
      </c>
      <c r="C146" s="3" t="str">
        <f>IF(COUNTIF(ciencia!$B:$B,$B146)&gt;0,"Sí","")</f>
        <v>Sí</v>
      </c>
      <c r="D146" s="3" t="str">
        <f>IF(COUNTIF(ia!$B:$B,$B146)&gt;0,"Sí","")</f>
        <v/>
      </c>
      <c r="E146" s="3" t="str">
        <f>IF(COUNTIF(graficas!$B:$B,$B146)&gt;0,"Sí","")</f>
        <v>Sí</v>
      </c>
      <c r="F146" s="3">
        <f t="shared" si="4"/>
        <v>2</v>
      </c>
      <c r="G146" t="str">
        <f t="shared" si="5"/>
        <v>Ciencia, Gráficas</v>
      </c>
    </row>
    <row r="147" spans="1:7" x14ac:dyDescent="0.25">
      <c r="A147" t="s">
        <v>16</v>
      </c>
      <c r="B147" t="s">
        <v>17</v>
      </c>
      <c r="C147" s="3" t="str">
        <f>IF(COUNTIF(ciencia!$B:$B,$B147)&gt;0,"Sí","")</f>
        <v>Sí</v>
      </c>
      <c r="D147" s="3" t="str">
        <f>IF(COUNTIF(ia!$B:$B,$B147)&gt;0,"Sí","")</f>
        <v>Sí</v>
      </c>
      <c r="E147" s="3" t="str">
        <f>IF(COUNTIF(graficas!$B:$B,$B147)&gt;0,"Sí","")</f>
        <v>Sí</v>
      </c>
      <c r="F147" s="3">
        <f t="shared" si="4"/>
        <v>3</v>
      </c>
      <c r="G147" t="str">
        <f t="shared" si="5"/>
        <v>Ciencia, IA, Gráficas</v>
      </c>
    </row>
    <row r="148" spans="1:7" x14ac:dyDescent="0.25">
      <c r="A148" t="s">
        <v>573</v>
      </c>
      <c r="B148" t="s">
        <v>574</v>
      </c>
      <c r="C148" s="3" t="str">
        <f>IF(COUNTIF(ciencia!$B:$B,$B148)&gt;0,"Sí","")</f>
        <v>Sí</v>
      </c>
      <c r="D148" s="3" t="str">
        <f>IF(COUNTIF(ia!$B:$B,$B148)&gt;0,"Sí","")</f>
        <v/>
      </c>
      <c r="E148" s="3" t="str">
        <f>IF(COUNTIF(graficas!$B:$B,$B148)&gt;0,"Sí","")</f>
        <v/>
      </c>
      <c r="F148" s="3">
        <f t="shared" si="4"/>
        <v>1</v>
      </c>
      <c r="G148" t="str">
        <f t="shared" si="5"/>
        <v>Ciencia</v>
      </c>
    </row>
    <row r="149" spans="1:7" x14ac:dyDescent="0.25">
      <c r="A149" t="s">
        <v>575</v>
      </c>
      <c r="B149" t="s">
        <v>576</v>
      </c>
      <c r="C149" s="3" t="str">
        <f>IF(COUNTIF(ciencia!$B:$B,$B149)&gt;0,"Sí","")</f>
        <v>Sí</v>
      </c>
      <c r="D149" s="3" t="str">
        <f>IF(COUNTIF(ia!$B:$B,$B149)&gt;0,"Sí","")</f>
        <v/>
      </c>
      <c r="E149" s="3" t="str">
        <f>IF(COUNTIF(graficas!$B:$B,$B149)&gt;0,"Sí","")</f>
        <v/>
      </c>
      <c r="F149" s="3">
        <f t="shared" si="4"/>
        <v>1</v>
      </c>
      <c r="G149" t="str">
        <f t="shared" si="5"/>
        <v>Ciencia</v>
      </c>
    </row>
    <row r="150" spans="1:7" x14ac:dyDescent="0.25">
      <c r="A150" t="s">
        <v>577</v>
      </c>
      <c r="B150" t="s">
        <v>578</v>
      </c>
      <c r="C150" s="3" t="str">
        <f>IF(COUNTIF(ciencia!$B:$B,$B150)&gt;0,"Sí","")</f>
        <v>Sí</v>
      </c>
      <c r="D150" s="3" t="str">
        <f>IF(COUNTIF(ia!$B:$B,$B150)&gt;0,"Sí","")</f>
        <v/>
      </c>
      <c r="E150" s="3" t="str">
        <f>IF(COUNTIF(graficas!$B:$B,$B150)&gt;0,"Sí","")</f>
        <v/>
      </c>
      <c r="F150" s="3">
        <f t="shared" si="4"/>
        <v>1</v>
      </c>
      <c r="G150" t="str">
        <f t="shared" si="5"/>
        <v>Ciencia</v>
      </c>
    </row>
    <row r="151" spans="1:7" x14ac:dyDescent="0.25">
      <c r="A151" t="s">
        <v>579</v>
      </c>
      <c r="B151" t="s">
        <v>580</v>
      </c>
      <c r="C151" s="3" t="str">
        <f>IF(COUNTIF(ciencia!$B:$B,$B151)&gt;0,"Sí","")</f>
        <v>Sí</v>
      </c>
      <c r="D151" s="3" t="str">
        <f>IF(COUNTIF(ia!$B:$B,$B151)&gt;0,"Sí","")</f>
        <v/>
      </c>
      <c r="E151" s="3" t="str">
        <f>IF(COUNTIF(graficas!$B:$B,$B151)&gt;0,"Sí","")</f>
        <v/>
      </c>
      <c r="F151" s="3">
        <f t="shared" si="4"/>
        <v>1</v>
      </c>
      <c r="G151" t="str">
        <f t="shared" si="5"/>
        <v>Ciencia</v>
      </c>
    </row>
    <row r="152" spans="1:7" x14ac:dyDescent="0.25">
      <c r="A152" t="s">
        <v>827</v>
      </c>
      <c r="B152" t="s">
        <v>582</v>
      </c>
      <c r="C152" s="3" t="str">
        <f>IF(COUNTIF(ciencia!$B:$B,$B152)&gt;0,"Sí","")</f>
        <v>Sí</v>
      </c>
      <c r="D152" s="3" t="str">
        <f>IF(COUNTIF(ia!$B:$B,$B152)&gt;0,"Sí","")</f>
        <v/>
      </c>
      <c r="E152" s="3" t="str">
        <f>IF(COUNTIF(graficas!$B:$B,$B152)&gt;0,"Sí","")</f>
        <v/>
      </c>
      <c r="F152" s="3">
        <f t="shared" si="4"/>
        <v>1</v>
      </c>
      <c r="G152" t="str">
        <f t="shared" si="5"/>
        <v>Ciencia</v>
      </c>
    </row>
    <row r="153" spans="1:7" x14ac:dyDescent="0.25">
      <c r="A153" t="s">
        <v>583</v>
      </c>
      <c r="B153" t="s">
        <v>584</v>
      </c>
      <c r="C153" s="3" t="str">
        <f>IF(COUNTIF(ciencia!$B:$B,$B153)&gt;0,"Sí","")</f>
        <v>Sí</v>
      </c>
      <c r="D153" s="3" t="str">
        <f>IF(COUNTIF(ia!$B:$B,$B153)&gt;0,"Sí","")</f>
        <v/>
      </c>
      <c r="E153" s="3" t="str">
        <f>IF(COUNTIF(graficas!$B:$B,$B153)&gt;0,"Sí","")</f>
        <v/>
      </c>
      <c r="F153" s="3">
        <f t="shared" si="4"/>
        <v>1</v>
      </c>
      <c r="G153" t="str">
        <f t="shared" si="5"/>
        <v>Ciencia</v>
      </c>
    </row>
    <row r="154" spans="1:7" x14ac:dyDescent="0.25">
      <c r="A154" t="s">
        <v>106</v>
      </c>
      <c r="B154" t="s">
        <v>107</v>
      </c>
      <c r="C154" s="3" t="str">
        <f>IF(COUNTIF(ciencia!$B:$B,$B154)&gt;0,"Sí","")</f>
        <v>Sí</v>
      </c>
      <c r="D154" s="3" t="str">
        <f>IF(COUNTIF(ia!$B:$B,$B154)&gt;0,"Sí","")</f>
        <v>Sí</v>
      </c>
      <c r="E154" s="3" t="str">
        <f>IF(COUNTIF(graficas!$B:$B,$B154)&gt;0,"Sí","")</f>
        <v>Sí</v>
      </c>
      <c r="F154" s="3">
        <f t="shared" si="4"/>
        <v>3</v>
      </c>
      <c r="G154" t="str">
        <f t="shared" si="5"/>
        <v>Ciencia, IA, Gráficas</v>
      </c>
    </row>
    <row r="155" spans="1:7" x14ac:dyDescent="0.25">
      <c r="A155" t="s">
        <v>585</v>
      </c>
      <c r="B155" t="s">
        <v>586</v>
      </c>
      <c r="C155" s="3" t="str">
        <f>IF(COUNTIF(ciencia!$B:$B,$B155)&gt;0,"Sí","")</f>
        <v>Sí</v>
      </c>
      <c r="D155" s="3" t="str">
        <f>IF(COUNTIF(ia!$B:$B,$B155)&gt;0,"Sí","")</f>
        <v/>
      </c>
      <c r="E155" s="3" t="str">
        <f>IF(COUNTIF(graficas!$B:$B,$B155)&gt;0,"Sí","")</f>
        <v/>
      </c>
      <c r="F155" s="3">
        <f t="shared" si="4"/>
        <v>1</v>
      </c>
      <c r="G155" t="str">
        <f t="shared" si="5"/>
        <v>Ciencia</v>
      </c>
    </row>
    <row r="156" spans="1:7" x14ac:dyDescent="0.25">
      <c r="A156" t="s">
        <v>44</v>
      </c>
      <c r="B156" t="s">
        <v>45</v>
      </c>
      <c r="C156" s="3" t="str">
        <f>IF(COUNTIF(ciencia!$B:$B,$B156)&gt;0,"Sí","")</f>
        <v>Sí</v>
      </c>
      <c r="D156" s="3" t="str">
        <f>IF(COUNTIF(ia!$B:$B,$B156)&gt;0,"Sí","")</f>
        <v/>
      </c>
      <c r="E156" s="3" t="str">
        <f>IF(COUNTIF(graficas!$B:$B,$B156)&gt;0,"Sí","")</f>
        <v>Sí</v>
      </c>
      <c r="F156" s="3">
        <f t="shared" si="4"/>
        <v>2</v>
      </c>
      <c r="G156" t="str">
        <f t="shared" si="5"/>
        <v>Ciencia, Gráficas</v>
      </c>
    </row>
    <row r="157" spans="1:7" x14ac:dyDescent="0.25">
      <c r="A157" t="s">
        <v>587</v>
      </c>
      <c r="B157" t="s">
        <v>588</v>
      </c>
      <c r="C157" s="3" t="str">
        <f>IF(COUNTIF(ciencia!$B:$B,$B157)&gt;0,"Sí","")</f>
        <v>Sí</v>
      </c>
      <c r="D157" s="3" t="str">
        <f>IF(COUNTIF(ia!$B:$B,$B157)&gt;0,"Sí","")</f>
        <v/>
      </c>
      <c r="E157" s="3" t="str">
        <f>IF(COUNTIF(graficas!$B:$B,$B157)&gt;0,"Sí","")</f>
        <v/>
      </c>
      <c r="F157" s="3">
        <f t="shared" si="4"/>
        <v>1</v>
      </c>
      <c r="G157" t="str">
        <f t="shared" si="5"/>
        <v>Ciencia</v>
      </c>
    </row>
    <row r="158" spans="1:7" x14ac:dyDescent="0.25">
      <c r="A158" t="s">
        <v>46</v>
      </c>
      <c r="B158" t="s">
        <v>47</v>
      </c>
      <c r="C158" s="3" t="str">
        <f>IF(COUNTIF(ciencia!$B:$B,$B158)&gt;0,"Sí","")</f>
        <v>Sí</v>
      </c>
      <c r="D158" s="3" t="str">
        <f>IF(COUNTIF(ia!$B:$B,$B158)&gt;0,"Sí","")</f>
        <v/>
      </c>
      <c r="E158" s="3" t="str">
        <f>IF(COUNTIF(graficas!$B:$B,$B158)&gt;0,"Sí","")</f>
        <v>Sí</v>
      </c>
      <c r="F158" s="3">
        <f t="shared" si="4"/>
        <v>2</v>
      </c>
      <c r="G158" t="str">
        <f t="shared" si="5"/>
        <v>Ciencia, Gráficas</v>
      </c>
    </row>
    <row r="159" spans="1:7" x14ac:dyDescent="0.25">
      <c r="A159" t="s">
        <v>589</v>
      </c>
      <c r="B159" t="s">
        <v>590</v>
      </c>
      <c r="C159" s="3" t="str">
        <f>IF(COUNTIF(ciencia!$B:$B,$B159)&gt;0,"Sí","")</f>
        <v>Sí</v>
      </c>
      <c r="D159" s="3" t="str">
        <f>IF(COUNTIF(ia!$B:$B,$B159)&gt;0,"Sí","")</f>
        <v/>
      </c>
      <c r="E159" s="3" t="str">
        <f>IF(COUNTIF(graficas!$B:$B,$B159)&gt;0,"Sí","")</f>
        <v/>
      </c>
      <c r="F159" s="3">
        <f t="shared" si="4"/>
        <v>1</v>
      </c>
      <c r="G159" t="str">
        <f t="shared" si="5"/>
        <v>Ciencia</v>
      </c>
    </row>
    <row r="160" spans="1:7" x14ac:dyDescent="0.25">
      <c r="A160" t="s">
        <v>591</v>
      </c>
      <c r="B160" t="s">
        <v>592</v>
      </c>
      <c r="C160" s="3" t="str">
        <f>IF(COUNTIF(ciencia!$B:$B,$B160)&gt;0,"Sí","")</f>
        <v>Sí</v>
      </c>
      <c r="D160" s="3" t="str">
        <f>IF(COUNTIF(ia!$B:$B,$B160)&gt;0,"Sí","")</f>
        <v/>
      </c>
      <c r="E160" s="3" t="str">
        <f>IF(COUNTIF(graficas!$B:$B,$B160)&gt;0,"Sí","")</f>
        <v/>
      </c>
      <c r="F160" s="3">
        <f t="shared" si="4"/>
        <v>1</v>
      </c>
      <c r="G160" t="str">
        <f t="shared" si="5"/>
        <v>Ciencia</v>
      </c>
    </row>
    <row r="161" spans="1:7" x14ac:dyDescent="0.25">
      <c r="A161" t="s">
        <v>593</v>
      </c>
      <c r="B161" t="s">
        <v>594</v>
      </c>
      <c r="C161" s="3" t="str">
        <f>IF(COUNTIF(ciencia!$B:$B,$B161)&gt;0,"Sí","")</f>
        <v>Sí</v>
      </c>
      <c r="D161" s="3" t="str">
        <f>IF(COUNTIF(ia!$B:$B,$B161)&gt;0,"Sí","")</f>
        <v/>
      </c>
      <c r="E161" s="3" t="str">
        <f>IF(COUNTIF(graficas!$B:$B,$B161)&gt;0,"Sí","")</f>
        <v/>
      </c>
      <c r="F161" s="3">
        <f t="shared" si="4"/>
        <v>1</v>
      </c>
      <c r="G161" t="str">
        <f t="shared" si="5"/>
        <v>Ciencia</v>
      </c>
    </row>
    <row r="162" spans="1:7" x14ac:dyDescent="0.25">
      <c r="A162" t="s">
        <v>595</v>
      </c>
      <c r="B162" t="s">
        <v>596</v>
      </c>
      <c r="C162" s="3" t="str">
        <f>IF(COUNTIF(ciencia!$B:$B,$B162)&gt;0,"Sí","")</f>
        <v>Sí</v>
      </c>
      <c r="D162" s="3" t="str">
        <f>IF(COUNTIF(ia!$B:$B,$B162)&gt;0,"Sí","")</f>
        <v/>
      </c>
      <c r="E162" s="3" t="str">
        <f>IF(COUNTIF(graficas!$B:$B,$B162)&gt;0,"Sí","")</f>
        <v/>
      </c>
      <c r="F162" s="3">
        <f t="shared" si="4"/>
        <v>1</v>
      </c>
      <c r="G162" t="str">
        <f t="shared" si="5"/>
        <v>Ciencia</v>
      </c>
    </row>
    <row r="163" spans="1:7" x14ac:dyDescent="0.25">
      <c r="A163" t="s">
        <v>828</v>
      </c>
      <c r="B163" t="s">
        <v>598</v>
      </c>
      <c r="C163" s="3" t="str">
        <f>IF(COUNTIF(ciencia!$B:$B,$B163)&gt;0,"Sí","")</f>
        <v>Sí</v>
      </c>
      <c r="D163" s="3" t="str">
        <f>IF(COUNTIF(ia!$B:$B,$B163)&gt;0,"Sí","")</f>
        <v/>
      </c>
      <c r="E163" s="3" t="str">
        <f>IF(COUNTIF(graficas!$B:$B,$B163)&gt;0,"Sí","")</f>
        <v/>
      </c>
      <c r="F163" s="3">
        <f t="shared" si="4"/>
        <v>1</v>
      </c>
      <c r="G163" t="str">
        <f t="shared" si="5"/>
        <v>Ciencia</v>
      </c>
    </row>
    <row r="164" spans="1:7" x14ac:dyDescent="0.25">
      <c r="A164" t="s">
        <v>599</v>
      </c>
      <c r="B164" t="s">
        <v>600</v>
      </c>
      <c r="C164" s="3" t="str">
        <f>IF(COUNTIF(ciencia!$B:$B,$B164)&gt;0,"Sí","")</f>
        <v>Sí</v>
      </c>
      <c r="D164" s="3" t="str">
        <f>IF(COUNTIF(ia!$B:$B,$B164)&gt;0,"Sí","")</f>
        <v/>
      </c>
      <c r="E164" s="3" t="str">
        <f>IF(COUNTIF(graficas!$B:$B,$B164)&gt;0,"Sí","")</f>
        <v/>
      </c>
      <c r="F164" s="3">
        <f t="shared" si="4"/>
        <v>1</v>
      </c>
      <c r="G164" t="str">
        <f t="shared" si="5"/>
        <v>Ciencia</v>
      </c>
    </row>
    <row r="165" spans="1:7" x14ac:dyDescent="0.25">
      <c r="A165" t="s">
        <v>601</v>
      </c>
      <c r="B165" t="s">
        <v>602</v>
      </c>
      <c r="C165" s="3" t="str">
        <f>IF(COUNTIF(ciencia!$B:$B,$B165)&gt;0,"Sí","")</f>
        <v>Sí</v>
      </c>
      <c r="D165" s="3" t="str">
        <f>IF(COUNTIF(ia!$B:$B,$B165)&gt;0,"Sí","")</f>
        <v/>
      </c>
      <c r="E165" s="3" t="str">
        <f>IF(COUNTIF(graficas!$B:$B,$B165)&gt;0,"Sí","")</f>
        <v/>
      </c>
      <c r="F165" s="3">
        <f t="shared" si="4"/>
        <v>1</v>
      </c>
      <c r="G165" t="str">
        <f t="shared" si="5"/>
        <v>Ciencia</v>
      </c>
    </row>
    <row r="166" spans="1:7" x14ac:dyDescent="0.25">
      <c r="A166" t="s">
        <v>603</v>
      </c>
      <c r="B166" t="s">
        <v>604</v>
      </c>
      <c r="C166" s="3" t="str">
        <f>IF(COUNTIF(ciencia!$B:$B,$B166)&gt;0,"Sí","")</f>
        <v>Sí</v>
      </c>
      <c r="D166" s="3" t="str">
        <f>IF(COUNTIF(ia!$B:$B,$B166)&gt;0,"Sí","")</f>
        <v/>
      </c>
      <c r="E166" s="3" t="str">
        <f>IF(COUNTIF(graficas!$B:$B,$B166)&gt;0,"Sí","")</f>
        <v/>
      </c>
      <c r="F166" s="3">
        <f t="shared" si="4"/>
        <v>1</v>
      </c>
      <c r="G166" t="str">
        <f t="shared" si="5"/>
        <v>Ciencia</v>
      </c>
    </row>
    <row r="167" spans="1:7" x14ac:dyDescent="0.25">
      <c r="A167" t="s">
        <v>30</v>
      </c>
      <c r="B167" t="s">
        <v>31</v>
      </c>
      <c r="C167" s="3" t="str">
        <f>IF(COUNTIF(ciencia!$B:$B,$B167)&gt;0,"Sí","")</f>
        <v>Sí</v>
      </c>
      <c r="D167" s="3" t="str">
        <f>IF(COUNTIF(ia!$B:$B,$B167)&gt;0,"Sí","")</f>
        <v/>
      </c>
      <c r="E167" s="3" t="str">
        <f>IF(COUNTIF(graficas!$B:$B,$B167)&gt;0,"Sí","")</f>
        <v>Sí</v>
      </c>
      <c r="F167" s="3">
        <f t="shared" si="4"/>
        <v>2</v>
      </c>
      <c r="G167" t="str">
        <f t="shared" si="5"/>
        <v>Ciencia, Gráficas</v>
      </c>
    </row>
    <row r="168" spans="1:7" x14ac:dyDescent="0.25">
      <c r="A168" t="s">
        <v>605</v>
      </c>
      <c r="B168" t="s">
        <v>606</v>
      </c>
      <c r="C168" s="3" t="str">
        <f>IF(COUNTIF(ciencia!$B:$B,$B168)&gt;0,"Sí","")</f>
        <v>Sí</v>
      </c>
      <c r="D168" s="3" t="str">
        <f>IF(COUNTIF(ia!$B:$B,$B168)&gt;0,"Sí","")</f>
        <v/>
      </c>
      <c r="E168" s="3" t="str">
        <f>IF(COUNTIF(graficas!$B:$B,$B168)&gt;0,"Sí","")</f>
        <v/>
      </c>
      <c r="F168" s="3">
        <f t="shared" si="4"/>
        <v>1</v>
      </c>
      <c r="G168" t="str">
        <f t="shared" si="5"/>
        <v>Ciencia</v>
      </c>
    </row>
    <row r="169" spans="1:7" x14ac:dyDescent="0.25">
      <c r="A169" t="s">
        <v>607</v>
      </c>
      <c r="B169" t="s">
        <v>608</v>
      </c>
      <c r="C169" s="3" t="str">
        <f>IF(COUNTIF(ciencia!$B:$B,$B169)&gt;0,"Sí","")</f>
        <v>Sí</v>
      </c>
      <c r="D169" s="3" t="str">
        <f>IF(COUNTIF(ia!$B:$B,$B169)&gt;0,"Sí","")</f>
        <v/>
      </c>
      <c r="E169" s="3" t="str">
        <f>IF(COUNTIF(graficas!$B:$B,$B169)&gt;0,"Sí","")</f>
        <v/>
      </c>
      <c r="F169" s="3">
        <f t="shared" si="4"/>
        <v>1</v>
      </c>
      <c r="G169" t="str">
        <f t="shared" si="5"/>
        <v>Ciencia</v>
      </c>
    </row>
    <row r="170" spans="1:7" x14ac:dyDescent="0.25">
      <c r="A170" t="s">
        <v>56</v>
      </c>
      <c r="B170" t="s">
        <v>57</v>
      </c>
      <c r="C170" s="3" t="str">
        <f>IF(COUNTIF(ciencia!$B:$B,$B170)&gt;0,"Sí","")</f>
        <v>Sí</v>
      </c>
      <c r="D170" s="3" t="str">
        <f>IF(COUNTIF(ia!$B:$B,$B170)&gt;0,"Sí","")</f>
        <v/>
      </c>
      <c r="E170" s="3" t="str">
        <f>IF(COUNTIF(graficas!$B:$B,$B170)&gt;0,"Sí","")</f>
        <v>Sí</v>
      </c>
      <c r="F170" s="3">
        <f t="shared" si="4"/>
        <v>2</v>
      </c>
      <c r="G170" t="str">
        <f t="shared" si="5"/>
        <v>Ciencia, Gráficas</v>
      </c>
    </row>
    <row r="171" spans="1:7" x14ac:dyDescent="0.25">
      <c r="A171" t="s">
        <v>68</v>
      </c>
      <c r="B171" t="s">
        <v>69</v>
      </c>
      <c r="C171" s="3" t="str">
        <f>IF(COUNTIF(ciencia!$B:$B,$B171)&gt;0,"Sí","")</f>
        <v>Sí</v>
      </c>
      <c r="D171" s="3" t="str">
        <f>IF(COUNTIF(ia!$B:$B,$B171)&gt;0,"Sí","")</f>
        <v/>
      </c>
      <c r="E171" s="3" t="str">
        <f>IF(COUNTIF(graficas!$B:$B,$B171)&gt;0,"Sí","")</f>
        <v>Sí</v>
      </c>
      <c r="F171" s="3">
        <f t="shared" si="4"/>
        <v>2</v>
      </c>
      <c r="G171" t="str">
        <f t="shared" si="5"/>
        <v>Ciencia, Gráficas</v>
      </c>
    </row>
    <row r="172" spans="1:7" x14ac:dyDescent="0.25">
      <c r="A172" t="s">
        <v>609</v>
      </c>
      <c r="B172" t="s">
        <v>610</v>
      </c>
      <c r="C172" s="3" t="str">
        <f>IF(COUNTIF(ciencia!$B:$B,$B172)&gt;0,"Sí","")</f>
        <v>Sí</v>
      </c>
      <c r="D172" s="3" t="str">
        <f>IF(COUNTIF(ia!$B:$B,$B172)&gt;0,"Sí","")</f>
        <v/>
      </c>
      <c r="E172" s="3" t="str">
        <f>IF(COUNTIF(graficas!$B:$B,$B172)&gt;0,"Sí","")</f>
        <v/>
      </c>
      <c r="F172" s="3">
        <f t="shared" si="4"/>
        <v>1</v>
      </c>
      <c r="G172" t="str">
        <f t="shared" si="5"/>
        <v>Ciencia</v>
      </c>
    </row>
    <row r="173" spans="1:7" x14ac:dyDescent="0.25">
      <c r="A173" t="s">
        <v>611</v>
      </c>
      <c r="B173" t="s">
        <v>612</v>
      </c>
      <c r="C173" s="3" t="str">
        <f>IF(COUNTIF(ciencia!$B:$B,$B173)&gt;0,"Sí","")</f>
        <v>Sí</v>
      </c>
      <c r="D173" s="3" t="str">
        <f>IF(COUNTIF(ia!$B:$B,$B173)&gt;0,"Sí","")</f>
        <v/>
      </c>
      <c r="E173" s="3" t="str">
        <f>IF(COUNTIF(graficas!$B:$B,$B173)&gt;0,"Sí","")</f>
        <v/>
      </c>
      <c r="F173" s="3">
        <f t="shared" si="4"/>
        <v>1</v>
      </c>
      <c r="G173" t="str">
        <f t="shared" si="5"/>
        <v>Ciencia</v>
      </c>
    </row>
    <row r="174" spans="1:7" x14ac:dyDescent="0.25">
      <c r="A174" t="s">
        <v>78</v>
      </c>
      <c r="B174" t="s">
        <v>79</v>
      </c>
      <c r="C174" s="3" t="str">
        <f>IF(COUNTIF(ciencia!$B:$B,$B174)&gt;0,"Sí","")</f>
        <v>Sí</v>
      </c>
      <c r="D174" s="3" t="str">
        <f>IF(COUNTIF(ia!$B:$B,$B174)&gt;0,"Sí","")</f>
        <v/>
      </c>
      <c r="E174" s="3" t="str">
        <f>IF(COUNTIF(graficas!$B:$B,$B174)&gt;0,"Sí","")</f>
        <v>Sí</v>
      </c>
      <c r="F174" s="3">
        <f t="shared" si="4"/>
        <v>2</v>
      </c>
      <c r="G174" t="str">
        <f t="shared" si="5"/>
        <v>Ciencia, Gráficas</v>
      </c>
    </row>
    <row r="175" spans="1:7" x14ac:dyDescent="0.25">
      <c r="A175" t="s">
        <v>412</v>
      </c>
      <c r="B175" t="s">
        <v>613</v>
      </c>
      <c r="C175" s="3" t="str">
        <f>IF(COUNTIF(ciencia!$B:$B,$B175)&gt;0,"Sí","")</f>
        <v>Sí</v>
      </c>
      <c r="D175" s="3" t="str">
        <f>IF(COUNTIF(ia!$B:$B,$B175)&gt;0,"Sí","")</f>
        <v/>
      </c>
      <c r="E175" s="3" t="str">
        <f>IF(COUNTIF(graficas!$B:$B,$B175)&gt;0,"Sí","")</f>
        <v/>
      </c>
      <c r="F175" s="3">
        <f t="shared" si="4"/>
        <v>1</v>
      </c>
      <c r="G175" t="str">
        <f t="shared" si="5"/>
        <v>Ciencia</v>
      </c>
    </row>
    <row r="176" spans="1:7" x14ac:dyDescent="0.25">
      <c r="A176" t="s">
        <v>614</v>
      </c>
      <c r="B176" t="s">
        <v>615</v>
      </c>
      <c r="C176" s="3" t="str">
        <f>IF(COUNTIF(ciencia!$B:$B,$B176)&gt;0,"Sí","")</f>
        <v>Sí</v>
      </c>
      <c r="D176" s="3" t="str">
        <f>IF(COUNTIF(ia!$B:$B,$B176)&gt;0,"Sí","")</f>
        <v/>
      </c>
      <c r="E176" s="3" t="str">
        <f>IF(COUNTIF(graficas!$B:$B,$B176)&gt;0,"Sí","")</f>
        <v/>
      </c>
      <c r="F176" s="3">
        <f t="shared" si="4"/>
        <v>1</v>
      </c>
      <c r="G176" t="str">
        <f t="shared" si="5"/>
        <v>Ciencia</v>
      </c>
    </row>
    <row r="177" spans="1:7" x14ac:dyDescent="0.25">
      <c r="A177" t="s">
        <v>80</v>
      </c>
      <c r="B177" t="s">
        <v>81</v>
      </c>
      <c r="C177" s="3" t="str">
        <f>IF(COUNTIF(ciencia!$B:$B,$B177)&gt;0,"Sí","")</f>
        <v>Sí</v>
      </c>
      <c r="D177" s="3" t="str">
        <f>IF(COUNTIF(ia!$B:$B,$B177)&gt;0,"Sí","")</f>
        <v/>
      </c>
      <c r="E177" s="3" t="str">
        <f>IF(COUNTIF(graficas!$B:$B,$B177)&gt;0,"Sí","")</f>
        <v>Sí</v>
      </c>
      <c r="F177" s="3">
        <f t="shared" si="4"/>
        <v>2</v>
      </c>
      <c r="G177" t="str">
        <f t="shared" si="5"/>
        <v>Ciencia, Gráficas</v>
      </c>
    </row>
    <row r="178" spans="1:7" x14ac:dyDescent="0.25">
      <c r="A178" t="s">
        <v>168</v>
      </c>
      <c r="B178" t="s">
        <v>169</v>
      </c>
      <c r="C178" s="3" t="str">
        <f>IF(COUNTIF(ciencia!$B:$B,$B178)&gt;0,"Sí","")</f>
        <v>Sí</v>
      </c>
      <c r="D178" s="3" t="str">
        <f>IF(COUNTIF(ia!$B:$B,$B178)&gt;0,"Sí","")</f>
        <v>Sí</v>
      </c>
      <c r="E178" s="3" t="str">
        <f>IF(COUNTIF(graficas!$B:$B,$B178)&gt;0,"Sí","")</f>
        <v/>
      </c>
      <c r="F178" s="3">
        <f t="shared" si="4"/>
        <v>2</v>
      </c>
      <c r="G178" t="str">
        <f t="shared" si="5"/>
        <v>Ciencia, IA</v>
      </c>
    </row>
    <row r="179" spans="1:7" x14ac:dyDescent="0.25">
      <c r="A179" t="s">
        <v>82</v>
      </c>
      <c r="B179" t="s">
        <v>83</v>
      </c>
      <c r="C179" s="3" t="str">
        <f>IF(COUNTIF(ciencia!$B:$B,$B179)&gt;0,"Sí","")</f>
        <v>Sí</v>
      </c>
      <c r="D179" s="3" t="str">
        <f>IF(COUNTIF(ia!$B:$B,$B179)&gt;0,"Sí","")</f>
        <v/>
      </c>
      <c r="E179" s="3" t="str">
        <f>IF(COUNTIF(graficas!$B:$B,$B179)&gt;0,"Sí","")</f>
        <v>Sí</v>
      </c>
      <c r="F179" s="3">
        <f t="shared" si="4"/>
        <v>2</v>
      </c>
      <c r="G179" t="str">
        <f t="shared" si="5"/>
        <v>Ciencia, Gráficas</v>
      </c>
    </row>
    <row r="180" spans="1:7" x14ac:dyDescent="0.25">
      <c r="A180" t="s">
        <v>616</v>
      </c>
      <c r="B180" t="s">
        <v>617</v>
      </c>
      <c r="C180" s="3" t="str">
        <f>IF(COUNTIF(ciencia!$B:$B,$B180)&gt;0,"Sí","")</f>
        <v>Sí</v>
      </c>
      <c r="D180" s="3" t="str">
        <f>IF(COUNTIF(ia!$B:$B,$B180)&gt;0,"Sí","")</f>
        <v/>
      </c>
      <c r="E180" s="3" t="str">
        <f>IF(COUNTIF(graficas!$B:$B,$B180)&gt;0,"Sí","")</f>
        <v/>
      </c>
      <c r="F180" s="3">
        <f t="shared" si="4"/>
        <v>1</v>
      </c>
      <c r="G180" t="str">
        <f t="shared" si="5"/>
        <v>Ciencia</v>
      </c>
    </row>
    <row r="181" spans="1:7" x14ac:dyDescent="0.25">
      <c r="A181" t="s">
        <v>618</v>
      </c>
      <c r="B181" t="s">
        <v>619</v>
      </c>
      <c r="C181" s="3" t="str">
        <f>IF(COUNTIF(ciencia!$B:$B,$B181)&gt;0,"Sí","")</f>
        <v>Sí</v>
      </c>
      <c r="D181" s="3" t="str">
        <f>IF(COUNTIF(ia!$B:$B,$B181)&gt;0,"Sí","")</f>
        <v/>
      </c>
      <c r="E181" s="3" t="str">
        <f>IF(COUNTIF(graficas!$B:$B,$B181)&gt;0,"Sí","")</f>
        <v/>
      </c>
      <c r="F181" s="3">
        <f t="shared" si="4"/>
        <v>1</v>
      </c>
      <c r="G181" t="str">
        <f t="shared" si="5"/>
        <v>Ciencia</v>
      </c>
    </row>
    <row r="182" spans="1:7" x14ac:dyDescent="0.25">
      <c r="A182" t="s">
        <v>620</v>
      </c>
      <c r="B182" t="s">
        <v>621</v>
      </c>
      <c r="C182" s="3" t="str">
        <f>IF(COUNTIF(ciencia!$B:$B,$B182)&gt;0,"Sí","")</f>
        <v>Sí</v>
      </c>
      <c r="D182" s="3" t="str">
        <f>IF(COUNTIF(ia!$B:$B,$B182)&gt;0,"Sí","")</f>
        <v/>
      </c>
      <c r="E182" s="3" t="str">
        <f>IF(COUNTIF(graficas!$B:$B,$B182)&gt;0,"Sí","")</f>
        <v/>
      </c>
      <c r="F182" s="3">
        <f t="shared" si="4"/>
        <v>1</v>
      </c>
      <c r="G182" t="str">
        <f t="shared" si="5"/>
        <v>Ciencia</v>
      </c>
    </row>
    <row r="183" spans="1:7" x14ac:dyDescent="0.25">
      <c r="A183" t="s">
        <v>622</v>
      </c>
      <c r="B183" t="s">
        <v>623</v>
      </c>
      <c r="C183" s="3" t="str">
        <f>IF(COUNTIF(ciencia!$B:$B,$B183)&gt;0,"Sí","")</f>
        <v>Sí</v>
      </c>
      <c r="D183" s="3" t="str">
        <f>IF(COUNTIF(ia!$B:$B,$B183)&gt;0,"Sí","")</f>
        <v/>
      </c>
      <c r="E183" s="3" t="str">
        <f>IF(COUNTIF(graficas!$B:$B,$B183)&gt;0,"Sí","")</f>
        <v/>
      </c>
      <c r="F183" s="3">
        <f t="shared" si="4"/>
        <v>1</v>
      </c>
      <c r="G183" t="str">
        <f t="shared" si="5"/>
        <v>Ciencia</v>
      </c>
    </row>
    <row r="184" spans="1:7" x14ac:dyDescent="0.25">
      <c r="A184" t="s">
        <v>624</v>
      </c>
      <c r="B184" t="s">
        <v>625</v>
      </c>
      <c r="C184" s="3" t="str">
        <f>IF(COUNTIF(ciencia!$B:$B,$B184)&gt;0,"Sí","")</f>
        <v>Sí</v>
      </c>
      <c r="D184" s="3" t="str">
        <f>IF(COUNTIF(ia!$B:$B,$B184)&gt;0,"Sí","")</f>
        <v/>
      </c>
      <c r="E184" s="3" t="str">
        <f>IF(COUNTIF(graficas!$B:$B,$B184)&gt;0,"Sí","")</f>
        <v/>
      </c>
      <c r="F184" s="3">
        <f t="shared" si="4"/>
        <v>1</v>
      </c>
      <c r="G184" t="str">
        <f t="shared" si="5"/>
        <v>Ciencia</v>
      </c>
    </row>
    <row r="185" spans="1:7" x14ac:dyDescent="0.25">
      <c r="A185" t="s">
        <v>626</v>
      </c>
      <c r="B185" t="s">
        <v>627</v>
      </c>
      <c r="C185" s="3" t="str">
        <f>IF(COUNTIF(ciencia!$B:$B,$B185)&gt;0,"Sí","")</f>
        <v>Sí</v>
      </c>
      <c r="D185" s="3" t="str">
        <f>IF(COUNTIF(ia!$B:$B,$B185)&gt;0,"Sí","")</f>
        <v/>
      </c>
      <c r="E185" s="3" t="str">
        <f>IF(COUNTIF(graficas!$B:$B,$B185)&gt;0,"Sí","")</f>
        <v/>
      </c>
      <c r="F185" s="3">
        <f t="shared" si="4"/>
        <v>1</v>
      </c>
      <c r="G185" t="str">
        <f t="shared" si="5"/>
        <v>Ciencia</v>
      </c>
    </row>
    <row r="186" spans="1:7" x14ac:dyDescent="0.25">
      <c r="A186" t="s">
        <v>628</v>
      </c>
      <c r="B186" t="s">
        <v>629</v>
      </c>
      <c r="C186" s="3" t="str">
        <f>IF(COUNTIF(ciencia!$B:$B,$B186)&gt;0,"Sí","")</f>
        <v>Sí</v>
      </c>
      <c r="D186" s="3" t="str">
        <f>IF(COUNTIF(ia!$B:$B,$B186)&gt;0,"Sí","")</f>
        <v/>
      </c>
      <c r="E186" s="3" t="str">
        <f>IF(COUNTIF(graficas!$B:$B,$B186)&gt;0,"Sí","")</f>
        <v/>
      </c>
      <c r="F186" s="3">
        <f t="shared" si="4"/>
        <v>1</v>
      </c>
      <c r="G186" t="str">
        <f t="shared" si="5"/>
        <v>Ciencia</v>
      </c>
    </row>
    <row r="187" spans="1:7" x14ac:dyDescent="0.25">
      <c r="A187" t="s">
        <v>86</v>
      </c>
      <c r="B187" t="s">
        <v>87</v>
      </c>
      <c r="C187" s="3" t="str">
        <f>IF(COUNTIF(ciencia!$B:$B,$B187)&gt;0,"Sí","")</f>
        <v>Sí</v>
      </c>
      <c r="D187" s="3" t="str">
        <f>IF(COUNTIF(ia!$B:$B,$B187)&gt;0,"Sí","")</f>
        <v/>
      </c>
      <c r="E187" s="3" t="str">
        <f>IF(COUNTIF(graficas!$B:$B,$B187)&gt;0,"Sí","")</f>
        <v>Sí</v>
      </c>
      <c r="F187" s="3">
        <f t="shared" si="4"/>
        <v>2</v>
      </c>
      <c r="G187" t="str">
        <f t="shared" si="5"/>
        <v>Ciencia, Gráficas</v>
      </c>
    </row>
    <row r="188" spans="1:7" x14ac:dyDescent="0.25">
      <c r="A188" t="s">
        <v>630</v>
      </c>
      <c r="B188" t="s">
        <v>631</v>
      </c>
      <c r="C188" s="3" t="str">
        <f>IF(COUNTIF(ciencia!$B:$B,$B188)&gt;0,"Sí","")</f>
        <v>Sí</v>
      </c>
      <c r="D188" s="3" t="str">
        <f>IF(COUNTIF(ia!$B:$B,$B188)&gt;0,"Sí","")</f>
        <v/>
      </c>
      <c r="E188" s="3" t="str">
        <f>IF(COUNTIF(graficas!$B:$B,$B188)&gt;0,"Sí","")</f>
        <v/>
      </c>
      <c r="F188" s="3">
        <f t="shared" si="4"/>
        <v>1</v>
      </c>
      <c r="G188" t="str">
        <f t="shared" si="5"/>
        <v>Ciencia</v>
      </c>
    </row>
    <row r="189" spans="1:7" x14ac:dyDescent="0.25">
      <c r="A189" t="s">
        <v>88</v>
      </c>
      <c r="B189" t="s">
        <v>89</v>
      </c>
      <c r="C189" s="3" t="str">
        <f>IF(COUNTIF(ciencia!$B:$B,$B189)&gt;0,"Sí","")</f>
        <v>Sí</v>
      </c>
      <c r="D189" s="3" t="str">
        <f>IF(COUNTIF(ia!$B:$B,$B189)&gt;0,"Sí","")</f>
        <v/>
      </c>
      <c r="E189" s="3" t="str">
        <f>IF(COUNTIF(graficas!$B:$B,$B189)&gt;0,"Sí","")</f>
        <v>Sí</v>
      </c>
      <c r="F189" s="3">
        <f t="shared" si="4"/>
        <v>2</v>
      </c>
      <c r="G189" t="str">
        <f t="shared" si="5"/>
        <v>Ciencia, Gráficas</v>
      </c>
    </row>
    <row r="190" spans="1:7" x14ac:dyDescent="0.25">
      <c r="A190" t="s">
        <v>632</v>
      </c>
      <c r="B190" t="s">
        <v>633</v>
      </c>
      <c r="C190" s="3" t="str">
        <f>IF(COUNTIF(ciencia!$B:$B,$B190)&gt;0,"Sí","")</f>
        <v>Sí</v>
      </c>
      <c r="D190" s="3" t="str">
        <f>IF(COUNTIF(ia!$B:$B,$B190)&gt;0,"Sí","")</f>
        <v/>
      </c>
      <c r="E190" s="3" t="str">
        <f>IF(COUNTIF(graficas!$B:$B,$B190)&gt;0,"Sí","")</f>
        <v/>
      </c>
      <c r="F190" s="3">
        <f t="shared" si="4"/>
        <v>1</v>
      </c>
      <c r="G190" t="str">
        <f t="shared" si="5"/>
        <v>Ciencia</v>
      </c>
    </row>
    <row r="191" spans="1:7" x14ac:dyDescent="0.25">
      <c r="A191" t="s">
        <v>634</v>
      </c>
      <c r="B191" t="s">
        <v>635</v>
      </c>
      <c r="C191" s="3" t="str">
        <f>IF(COUNTIF(ciencia!$B:$B,$B191)&gt;0,"Sí","")</f>
        <v>Sí</v>
      </c>
      <c r="D191" s="3" t="str">
        <f>IF(COUNTIF(ia!$B:$B,$B191)&gt;0,"Sí","")</f>
        <v/>
      </c>
      <c r="E191" s="3" t="str">
        <f>IF(COUNTIF(graficas!$B:$B,$B191)&gt;0,"Sí","")</f>
        <v/>
      </c>
      <c r="F191" s="3">
        <f t="shared" si="4"/>
        <v>1</v>
      </c>
      <c r="G191" t="str">
        <f t="shared" si="5"/>
        <v>Ciencia</v>
      </c>
    </row>
    <row r="192" spans="1:7" x14ac:dyDescent="0.25">
      <c r="A192" t="s">
        <v>636</v>
      </c>
      <c r="B192" t="s">
        <v>637</v>
      </c>
      <c r="C192" s="3" t="str">
        <f>IF(COUNTIF(ciencia!$B:$B,$B192)&gt;0,"Sí","")</f>
        <v>Sí</v>
      </c>
      <c r="D192" s="3" t="str">
        <f>IF(COUNTIF(ia!$B:$B,$B192)&gt;0,"Sí","")</f>
        <v/>
      </c>
      <c r="E192" s="3" t="str">
        <f>IF(COUNTIF(graficas!$B:$B,$B192)&gt;0,"Sí","")</f>
        <v/>
      </c>
      <c r="F192" s="3">
        <f t="shared" si="4"/>
        <v>1</v>
      </c>
      <c r="G192" t="str">
        <f t="shared" si="5"/>
        <v>Ciencia</v>
      </c>
    </row>
    <row r="193" spans="1:7" x14ac:dyDescent="0.25">
      <c r="A193" t="s">
        <v>94</v>
      </c>
      <c r="B193" t="s">
        <v>95</v>
      </c>
      <c r="C193" s="3" t="str">
        <f>IF(COUNTIF(ciencia!$B:$B,$B193)&gt;0,"Sí","")</f>
        <v>Sí</v>
      </c>
      <c r="D193" s="3" t="str">
        <f>IF(COUNTIF(ia!$B:$B,$B193)&gt;0,"Sí","")</f>
        <v/>
      </c>
      <c r="E193" s="3" t="str">
        <f>IF(COUNTIF(graficas!$B:$B,$B193)&gt;0,"Sí","")</f>
        <v>Sí</v>
      </c>
      <c r="F193" s="3">
        <f t="shared" si="4"/>
        <v>2</v>
      </c>
      <c r="G193" t="str">
        <f t="shared" si="5"/>
        <v>Ciencia, Gráficas</v>
      </c>
    </row>
    <row r="194" spans="1:7" x14ac:dyDescent="0.25">
      <c r="A194" t="s">
        <v>638</v>
      </c>
      <c r="B194" t="s">
        <v>639</v>
      </c>
      <c r="C194" s="3" t="str">
        <f>IF(COUNTIF(ciencia!$B:$B,$B194)&gt;0,"Sí","")</f>
        <v>Sí</v>
      </c>
      <c r="D194" s="3" t="str">
        <f>IF(COUNTIF(ia!$B:$B,$B194)&gt;0,"Sí","")</f>
        <v/>
      </c>
      <c r="E194" s="3" t="str">
        <f>IF(COUNTIF(graficas!$B:$B,$B194)&gt;0,"Sí","")</f>
        <v/>
      </c>
      <c r="F194" s="3">
        <f t="shared" si="4"/>
        <v>1</v>
      </c>
      <c r="G194" t="str">
        <f t="shared" si="5"/>
        <v>Ciencia</v>
      </c>
    </row>
    <row r="195" spans="1:7" x14ac:dyDescent="0.25">
      <c r="A195" t="s">
        <v>640</v>
      </c>
      <c r="B195" t="s">
        <v>641</v>
      </c>
      <c r="C195" s="3" t="str">
        <f>IF(COUNTIF(ciencia!$B:$B,$B195)&gt;0,"Sí","")</f>
        <v>Sí</v>
      </c>
      <c r="D195" s="3" t="str">
        <f>IF(COUNTIF(ia!$B:$B,$B195)&gt;0,"Sí","")</f>
        <v/>
      </c>
      <c r="E195" s="3" t="str">
        <f>IF(COUNTIF(graficas!$B:$B,$B195)&gt;0,"Sí","")</f>
        <v/>
      </c>
      <c r="F195" s="3">
        <f t="shared" ref="F195:F258" si="6">COUNTIF(C195:E195,"Sí")</f>
        <v>1</v>
      </c>
      <c r="G195" t="str">
        <f t="shared" ref="G195:G258" si="7">_xlfn.TEXTJOIN(", ",TRUE,IF(C195="Sí","Ciencia",""),IF(D195="Sí","IA",""),IF(E195="Sí","Gráficas",""))</f>
        <v>Ciencia</v>
      </c>
    </row>
    <row r="196" spans="1:7" x14ac:dyDescent="0.25">
      <c r="A196" t="s">
        <v>642</v>
      </c>
      <c r="B196" t="s">
        <v>643</v>
      </c>
      <c r="C196" s="3" t="str">
        <f>IF(COUNTIF(ciencia!$B:$B,$B196)&gt;0,"Sí","")</f>
        <v>Sí</v>
      </c>
      <c r="D196" s="3" t="str">
        <f>IF(COUNTIF(ia!$B:$B,$B196)&gt;0,"Sí","")</f>
        <v/>
      </c>
      <c r="E196" s="3" t="str">
        <f>IF(COUNTIF(graficas!$B:$B,$B196)&gt;0,"Sí","")</f>
        <v/>
      </c>
      <c r="F196" s="3">
        <f t="shared" si="6"/>
        <v>1</v>
      </c>
      <c r="G196" t="str">
        <f t="shared" si="7"/>
        <v>Ciencia</v>
      </c>
    </row>
    <row r="197" spans="1:7" x14ac:dyDescent="0.25">
      <c r="A197" t="s">
        <v>644</v>
      </c>
      <c r="B197" t="s">
        <v>645</v>
      </c>
      <c r="C197" s="3" t="str">
        <f>IF(COUNTIF(ciencia!$B:$B,$B197)&gt;0,"Sí","")</f>
        <v>Sí</v>
      </c>
      <c r="D197" s="3" t="str">
        <f>IF(COUNTIF(ia!$B:$B,$B197)&gt;0,"Sí","")</f>
        <v/>
      </c>
      <c r="E197" s="3" t="str">
        <f>IF(COUNTIF(graficas!$B:$B,$B197)&gt;0,"Sí","")</f>
        <v/>
      </c>
      <c r="F197" s="3">
        <f t="shared" si="6"/>
        <v>1</v>
      </c>
      <c r="G197" t="str">
        <f t="shared" si="7"/>
        <v>Ciencia</v>
      </c>
    </row>
    <row r="198" spans="1:7" x14ac:dyDescent="0.25">
      <c r="A198" t="s">
        <v>198</v>
      </c>
      <c r="B198" t="s">
        <v>199</v>
      </c>
      <c r="C198" s="3" t="str">
        <f>IF(COUNTIF(ciencia!$B:$B,$B198)&gt;0,"Sí","")</f>
        <v>Sí</v>
      </c>
      <c r="D198" s="3" t="str">
        <f>IF(COUNTIF(ia!$B:$B,$B198)&gt;0,"Sí","")</f>
        <v>Sí</v>
      </c>
      <c r="E198" s="3" t="str">
        <f>IF(COUNTIF(graficas!$B:$B,$B198)&gt;0,"Sí","")</f>
        <v/>
      </c>
      <c r="F198" s="3">
        <f t="shared" si="6"/>
        <v>2</v>
      </c>
      <c r="G198" t="str">
        <f t="shared" si="7"/>
        <v>Ciencia, IA</v>
      </c>
    </row>
    <row r="199" spans="1:7" x14ac:dyDescent="0.25">
      <c r="A199" t="s">
        <v>646</v>
      </c>
      <c r="B199" t="s">
        <v>647</v>
      </c>
      <c r="C199" s="3" t="str">
        <f>IF(COUNTIF(ciencia!$B:$B,$B199)&gt;0,"Sí","")</f>
        <v>Sí</v>
      </c>
      <c r="D199" s="3" t="str">
        <f>IF(COUNTIF(ia!$B:$B,$B199)&gt;0,"Sí","")</f>
        <v/>
      </c>
      <c r="E199" s="3" t="str">
        <f>IF(COUNTIF(graficas!$B:$B,$B199)&gt;0,"Sí","")</f>
        <v/>
      </c>
      <c r="F199" s="3">
        <f t="shared" si="6"/>
        <v>1</v>
      </c>
      <c r="G199" t="str">
        <f t="shared" si="7"/>
        <v>Ciencia</v>
      </c>
    </row>
    <row r="200" spans="1:7" x14ac:dyDescent="0.25">
      <c r="A200" t="s">
        <v>648</v>
      </c>
      <c r="B200" t="s">
        <v>649</v>
      </c>
      <c r="C200" s="3" t="str">
        <f>IF(COUNTIF(ciencia!$B:$B,$B200)&gt;0,"Sí","")</f>
        <v>Sí</v>
      </c>
      <c r="D200" s="3" t="str">
        <f>IF(COUNTIF(ia!$B:$B,$B200)&gt;0,"Sí","")</f>
        <v/>
      </c>
      <c r="E200" s="3" t="str">
        <f>IF(COUNTIF(graficas!$B:$B,$B200)&gt;0,"Sí","")</f>
        <v/>
      </c>
      <c r="F200" s="3">
        <f t="shared" si="6"/>
        <v>1</v>
      </c>
      <c r="G200" t="str">
        <f t="shared" si="7"/>
        <v>Ciencia</v>
      </c>
    </row>
    <row r="201" spans="1:7" x14ac:dyDescent="0.25">
      <c r="A201" t="s">
        <v>650</v>
      </c>
      <c r="B201" t="s">
        <v>651</v>
      </c>
      <c r="C201" s="3" t="str">
        <f>IF(COUNTIF(ciencia!$B:$B,$B201)&gt;0,"Sí","")</f>
        <v>Sí</v>
      </c>
      <c r="D201" s="3" t="str">
        <f>IF(COUNTIF(ia!$B:$B,$B201)&gt;0,"Sí","")</f>
        <v/>
      </c>
      <c r="E201" s="3" t="str">
        <f>IF(COUNTIF(graficas!$B:$B,$B201)&gt;0,"Sí","")</f>
        <v/>
      </c>
      <c r="F201" s="3">
        <f t="shared" si="6"/>
        <v>1</v>
      </c>
      <c r="G201" t="str">
        <f t="shared" si="7"/>
        <v>Ciencia</v>
      </c>
    </row>
    <row r="202" spans="1:7" x14ac:dyDescent="0.25">
      <c r="A202" t="s">
        <v>652</v>
      </c>
      <c r="B202" t="s">
        <v>653</v>
      </c>
      <c r="C202" s="3" t="str">
        <f>IF(COUNTIF(ciencia!$B:$B,$B202)&gt;0,"Sí","")</f>
        <v>Sí</v>
      </c>
      <c r="D202" s="3" t="str">
        <f>IF(COUNTIF(ia!$B:$B,$B202)&gt;0,"Sí","")</f>
        <v/>
      </c>
      <c r="E202" s="3" t="str">
        <f>IF(COUNTIF(graficas!$B:$B,$B202)&gt;0,"Sí","")</f>
        <v/>
      </c>
      <c r="F202" s="3">
        <f t="shared" si="6"/>
        <v>1</v>
      </c>
      <c r="G202" t="str">
        <f t="shared" si="7"/>
        <v>Ciencia</v>
      </c>
    </row>
    <row r="203" spans="1:7" x14ac:dyDescent="0.25">
      <c r="A203" t="s">
        <v>654</v>
      </c>
      <c r="B203" t="s">
        <v>655</v>
      </c>
      <c r="C203" s="3" t="str">
        <f>IF(COUNTIF(ciencia!$B:$B,$B203)&gt;0,"Sí","")</f>
        <v>Sí</v>
      </c>
      <c r="D203" s="3" t="str">
        <f>IF(COUNTIF(ia!$B:$B,$B203)&gt;0,"Sí","")</f>
        <v/>
      </c>
      <c r="E203" s="3" t="str">
        <f>IF(COUNTIF(graficas!$B:$B,$B203)&gt;0,"Sí","")</f>
        <v/>
      </c>
      <c r="F203" s="3">
        <f t="shared" si="6"/>
        <v>1</v>
      </c>
      <c r="G203" t="str">
        <f t="shared" si="7"/>
        <v>Ciencia</v>
      </c>
    </row>
    <row r="204" spans="1:7" x14ac:dyDescent="0.25">
      <c r="A204" t="s">
        <v>656</v>
      </c>
      <c r="B204" t="s">
        <v>657</v>
      </c>
      <c r="C204" s="3" t="str">
        <f>IF(COUNTIF(ciencia!$B:$B,$B204)&gt;0,"Sí","")</f>
        <v>Sí</v>
      </c>
      <c r="D204" s="3" t="str">
        <f>IF(COUNTIF(ia!$B:$B,$B204)&gt;0,"Sí","")</f>
        <v/>
      </c>
      <c r="E204" s="3" t="str">
        <f>IF(COUNTIF(graficas!$B:$B,$B204)&gt;0,"Sí","")</f>
        <v/>
      </c>
      <c r="F204" s="3">
        <f t="shared" si="6"/>
        <v>1</v>
      </c>
      <c r="G204" t="str">
        <f t="shared" si="7"/>
        <v>Ciencia</v>
      </c>
    </row>
    <row r="205" spans="1:7" x14ac:dyDescent="0.25">
      <c r="A205" t="s">
        <v>658</v>
      </c>
      <c r="B205" t="s">
        <v>659</v>
      </c>
      <c r="C205" s="3" t="str">
        <f>IF(COUNTIF(ciencia!$B:$B,$B205)&gt;0,"Sí","")</f>
        <v>Sí</v>
      </c>
      <c r="D205" s="3" t="str">
        <f>IF(COUNTIF(ia!$B:$B,$B205)&gt;0,"Sí","")</f>
        <v/>
      </c>
      <c r="E205" s="3" t="str">
        <f>IF(COUNTIF(graficas!$B:$B,$B205)&gt;0,"Sí","")</f>
        <v/>
      </c>
      <c r="F205" s="3">
        <f t="shared" si="6"/>
        <v>1</v>
      </c>
      <c r="G205" t="str">
        <f t="shared" si="7"/>
        <v>Ciencia</v>
      </c>
    </row>
    <row r="206" spans="1:7" x14ac:dyDescent="0.25">
      <c r="A206" t="s">
        <v>660</v>
      </c>
      <c r="B206" t="s">
        <v>661</v>
      </c>
      <c r="C206" s="3" t="str">
        <f>IF(COUNTIF(ciencia!$B:$B,$B206)&gt;0,"Sí","")</f>
        <v>Sí</v>
      </c>
      <c r="D206" s="3" t="str">
        <f>IF(COUNTIF(ia!$B:$B,$B206)&gt;0,"Sí","")</f>
        <v/>
      </c>
      <c r="E206" s="3" t="str">
        <f>IF(COUNTIF(graficas!$B:$B,$B206)&gt;0,"Sí","")</f>
        <v/>
      </c>
      <c r="F206" s="3">
        <f t="shared" si="6"/>
        <v>1</v>
      </c>
      <c r="G206" t="str">
        <f t="shared" si="7"/>
        <v>Ciencia</v>
      </c>
    </row>
    <row r="207" spans="1:7" x14ac:dyDescent="0.25">
      <c r="A207" t="s">
        <v>662</v>
      </c>
      <c r="B207" t="s">
        <v>663</v>
      </c>
      <c r="C207" s="3" t="str">
        <f>IF(COUNTIF(ciencia!$B:$B,$B207)&gt;0,"Sí","")</f>
        <v>Sí</v>
      </c>
      <c r="D207" s="3" t="str">
        <f>IF(COUNTIF(ia!$B:$B,$B207)&gt;0,"Sí","")</f>
        <v/>
      </c>
      <c r="E207" s="3" t="str">
        <f>IF(COUNTIF(graficas!$B:$B,$B207)&gt;0,"Sí","")</f>
        <v/>
      </c>
      <c r="F207" s="3">
        <f t="shared" si="6"/>
        <v>1</v>
      </c>
      <c r="G207" t="str">
        <f t="shared" si="7"/>
        <v>Ciencia</v>
      </c>
    </row>
    <row r="208" spans="1:7" x14ac:dyDescent="0.25">
      <c r="A208" t="s">
        <v>664</v>
      </c>
      <c r="B208" t="s">
        <v>665</v>
      </c>
      <c r="C208" s="3" t="str">
        <f>IF(COUNTIF(ciencia!$B:$B,$B208)&gt;0,"Sí","")</f>
        <v>Sí</v>
      </c>
      <c r="D208" s="3" t="str">
        <f>IF(COUNTIF(ia!$B:$B,$B208)&gt;0,"Sí","")</f>
        <v/>
      </c>
      <c r="E208" s="3" t="str">
        <f>IF(COUNTIF(graficas!$B:$B,$B208)&gt;0,"Sí","")</f>
        <v/>
      </c>
      <c r="F208" s="3">
        <f t="shared" si="6"/>
        <v>1</v>
      </c>
      <c r="G208" t="str">
        <f t="shared" si="7"/>
        <v>Ciencia</v>
      </c>
    </row>
    <row r="209" spans="1:7" x14ac:dyDescent="0.25">
      <c r="A209" t="s">
        <v>666</v>
      </c>
      <c r="B209" t="s">
        <v>667</v>
      </c>
      <c r="C209" s="3" t="str">
        <f>IF(COUNTIF(ciencia!$B:$B,$B209)&gt;0,"Sí","")</f>
        <v>Sí</v>
      </c>
      <c r="D209" s="3" t="str">
        <f>IF(COUNTIF(ia!$B:$B,$B209)&gt;0,"Sí","")</f>
        <v/>
      </c>
      <c r="E209" s="3" t="str">
        <f>IF(COUNTIF(graficas!$B:$B,$B209)&gt;0,"Sí","")</f>
        <v/>
      </c>
      <c r="F209" s="3">
        <f t="shared" si="6"/>
        <v>1</v>
      </c>
      <c r="G209" t="str">
        <f t="shared" si="7"/>
        <v>Ciencia</v>
      </c>
    </row>
    <row r="210" spans="1:7" x14ac:dyDescent="0.25">
      <c r="A210" t="s">
        <v>668</v>
      </c>
      <c r="B210" t="s">
        <v>669</v>
      </c>
      <c r="C210" s="3" t="str">
        <f>IF(COUNTIF(ciencia!$B:$B,$B210)&gt;0,"Sí","")</f>
        <v>Sí</v>
      </c>
      <c r="D210" s="3" t="str">
        <f>IF(COUNTIF(ia!$B:$B,$B210)&gt;0,"Sí","")</f>
        <v/>
      </c>
      <c r="E210" s="3" t="str">
        <f>IF(COUNTIF(graficas!$B:$B,$B210)&gt;0,"Sí","")</f>
        <v/>
      </c>
      <c r="F210" s="3">
        <f t="shared" si="6"/>
        <v>1</v>
      </c>
      <c r="G210" t="str">
        <f t="shared" si="7"/>
        <v>Ciencia</v>
      </c>
    </row>
    <row r="211" spans="1:7" x14ac:dyDescent="0.25">
      <c r="A211" t="s">
        <v>670</v>
      </c>
      <c r="B211" t="s">
        <v>671</v>
      </c>
      <c r="C211" s="3" t="str">
        <f>IF(COUNTIF(ciencia!$B:$B,$B211)&gt;0,"Sí","")</f>
        <v>Sí</v>
      </c>
      <c r="D211" s="3" t="str">
        <f>IF(COUNTIF(ia!$B:$B,$B211)&gt;0,"Sí","")</f>
        <v/>
      </c>
      <c r="E211" s="3" t="str">
        <f>IF(COUNTIF(graficas!$B:$B,$B211)&gt;0,"Sí","")</f>
        <v/>
      </c>
      <c r="F211" s="3">
        <f t="shared" si="6"/>
        <v>1</v>
      </c>
      <c r="G211" t="str">
        <f t="shared" si="7"/>
        <v>Ciencia</v>
      </c>
    </row>
    <row r="212" spans="1:7" x14ac:dyDescent="0.25">
      <c r="A212" t="s">
        <v>672</v>
      </c>
      <c r="B212" t="s">
        <v>673</v>
      </c>
      <c r="C212" s="3" t="str">
        <f>IF(COUNTIF(ciencia!$B:$B,$B212)&gt;0,"Sí","")</f>
        <v>Sí</v>
      </c>
      <c r="D212" s="3" t="str">
        <f>IF(COUNTIF(ia!$B:$B,$B212)&gt;0,"Sí","")</f>
        <v/>
      </c>
      <c r="E212" s="3" t="str">
        <f>IF(COUNTIF(graficas!$B:$B,$B212)&gt;0,"Sí","")</f>
        <v/>
      </c>
      <c r="F212" s="3">
        <f t="shared" si="6"/>
        <v>1</v>
      </c>
      <c r="G212" t="str">
        <f t="shared" si="7"/>
        <v>Ciencia</v>
      </c>
    </row>
    <row r="213" spans="1:7" x14ac:dyDescent="0.25">
      <c r="A213" t="s">
        <v>674</v>
      </c>
      <c r="B213" t="s">
        <v>675</v>
      </c>
      <c r="C213" s="3" t="str">
        <f>IF(COUNTIF(ciencia!$B:$B,$B213)&gt;0,"Sí","")</f>
        <v>Sí</v>
      </c>
      <c r="D213" s="3" t="str">
        <f>IF(COUNTIF(ia!$B:$B,$B213)&gt;0,"Sí","")</f>
        <v/>
      </c>
      <c r="E213" s="3" t="str">
        <f>IF(COUNTIF(graficas!$B:$B,$B213)&gt;0,"Sí","")</f>
        <v/>
      </c>
      <c r="F213" s="3">
        <f t="shared" si="6"/>
        <v>1</v>
      </c>
      <c r="G213" t="str">
        <f t="shared" si="7"/>
        <v>Ciencia</v>
      </c>
    </row>
    <row r="214" spans="1:7" x14ac:dyDescent="0.25">
      <c r="A214" t="s">
        <v>676</v>
      </c>
      <c r="B214" t="s">
        <v>677</v>
      </c>
      <c r="C214" s="3" t="str">
        <f>IF(COUNTIF(ciencia!$B:$B,$B214)&gt;0,"Sí","")</f>
        <v>Sí</v>
      </c>
      <c r="D214" s="3" t="str">
        <f>IF(COUNTIF(ia!$B:$B,$B214)&gt;0,"Sí","")</f>
        <v/>
      </c>
      <c r="E214" s="3" t="str">
        <f>IF(COUNTIF(graficas!$B:$B,$B214)&gt;0,"Sí","")</f>
        <v/>
      </c>
      <c r="F214" s="3">
        <f t="shared" si="6"/>
        <v>1</v>
      </c>
      <c r="G214" t="str">
        <f t="shared" si="7"/>
        <v>Ciencia</v>
      </c>
    </row>
    <row r="215" spans="1:7" x14ac:dyDescent="0.25">
      <c r="A215" t="s">
        <v>296</v>
      </c>
      <c r="B215" t="s">
        <v>297</v>
      </c>
      <c r="C215" s="3" t="str">
        <f>IF(COUNTIF(ciencia!$B:$B,$B215)&gt;0,"Sí","")</f>
        <v>Sí</v>
      </c>
      <c r="D215" s="3" t="str">
        <f>IF(COUNTIF(ia!$B:$B,$B215)&gt;0,"Sí","")</f>
        <v>Sí</v>
      </c>
      <c r="E215" s="3" t="str">
        <f>IF(COUNTIF(graficas!$B:$B,$B215)&gt;0,"Sí","")</f>
        <v/>
      </c>
      <c r="F215" s="3">
        <f t="shared" si="6"/>
        <v>2</v>
      </c>
      <c r="G215" t="str">
        <f t="shared" si="7"/>
        <v>Ciencia, IA</v>
      </c>
    </row>
    <row r="216" spans="1:7" x14ac:dyDescent="0.25">
      <c r="A216" t="s">
        <v>678</v>
      </c>
      <c r="B216" t="s">
        <v>679</v>
      </c>
      <c r="C216" s="3" t="str">
        <f>IF(COUNTIF(ciencia!$B:$B,$B216)&gt;0,"Sí","")</f>
        <v>Sí</v>
      </c>
      <c r="D216" s="3" t="str">
        <f>IF(COUNTIF(ia!$B:$B,$B216)&gt;0,"Sí","")</f>
        <v/>
      </c>
      <c r="E216" s="3" t="str">
        <f>IF(COUNTIF(graficas!$B:$B,$B216)&gt;0,"Sí","")</f>
        <v/>
      </c>
      <c r="F216" s="3">
        <f t="shared" si="6"/>
        <v>1</v>
      </c>
      <c r="G216" t="str">
        <f t="shared" si="7"/>
        <v>Ciencia</v>
      </c>
    </row>
    <row r="217" spans="1:7" x14ac:dyDescent="0.25">
      <c r="A217" t="s">
        <v>526</v>
      </c>
      <c r="B217" t="s">
        <v>680</v>
      </c>
      <c r="C217" s="3" t="str">
        <f>IF(COUNTIF(ciencia!$B:$B,$B217)&gt;0,"Sí","")</f>
        <v>Sí</v>
      </c>
      <c r="D217" s="3" t="str">
        <f>IF(COUNTIF(ia!$B:$B,$B217)&gt;0,"Sí","")</f>
        <v/>
      </c>
      <c r="E217" s="3" t="str">
        <f>IF(COUNTIF(graficas!$B:$B,$B217)&gt;0,"Sí","")</f>
        <v/>
      </c>
      <c r="F217" s="3">
        <f t="shared" si="6"/>
        <v>1</v>
      </c>
      <c r="G217" t="str">
        <f t="shared" si="7"/>
        <v>Ciencia</v>
      </c>
    </row>
    <row r="218" spans="1:7" x14ac:dyDescent="0.25">
      <c r="A218" t="s">
        <v>681</v>
      </c>
      <c r="B218" t="s">
        <v>682</v>
      </c>
      <c r="C218" s="3" t="str">
        <f>IF(COUNTIF(ciencia!$B:$B,$B218)&gt;0,"Sí","")</f>
        <v>Sí</v>
      </c>
      <c r="D218" s="3" t="str">
        <f>IF(COUNTIF(ia!$B:$B,$B218)&gt;0,"Sí","")</f>
        <v/>
      </c>
      <c r="E218" s="3" t="str">
        <f>IF(COUNTIF(graficas!$B:$B,$B218)&gt;0,"Sí","")</f>
        <v/>
      </c>
      <c r="F218" s="3">
        <f t="shared" si="6"/>
        <v>1</v>
      </c>
      <c r="G218" t="str">
        <f t="shared" si="7"/>
        <v>Ciencia</v>
      </c>
    </row>
    <row r="219" spans="1:7" x14ac:dyDescent="0.25">
      <c r="A219" t="s">
        <v>683</v>
      </c>
      <c r="B219" t="s">
        <v>684</v>
      </c>
      <c r="C219" s="3" t="str">
        <f>IF(COUNTIF(ciencia!$B:$B,$B219)&gt;0,"Sí","")</f>
        <v>Sí</v>
      </c>
      <c r="D219" s="3" t="str">
        <f>IF(COUNTIF(ia!$B:$B,$B219)&gt;0,"Sí","")</f>
        <v/>
      </c>
      <c r="E219" s="3" t="str">
        <f>IF(COUNTIF(graficas!$B:$B,$B219)&gt;0,"Sí","")</f>
        <v/>
      </c>
      <c r="F219" s="3">
        <f t="shared" si="6"/>
        <v>1</v>
      </c>
      <c r="G219" t="str">
        <f t="shared" si="7"/>
        <v>Ciencia</v>
      </c>
    </row>
    <row r="220" spans="1:7" x14ac:dyDescent="0.25">
      <c r="A220" t="s">
        <v>685</v>
      </c>
      <c r="B220" t="s">
        <v>686</v>
      </c>
      <c r="C220" s="3" t="str">
        <f>IF(COUNTIF(ciencia!$B:$B,$B220)&gt;0,"Sí","")</f>
        <v>Sí</v>
      </c>
      <c r="D220" s="3" t="str">
        <f>IF(COUNTIF(ia!$B:$B,$B220)&gt;0,"Sí","")</f>
        <v/>
      </c>
      <c r="E220" s="3" t="str">
        <f>IF(COUNTIF(graficas!$B:$B,$B220)&gt;0,"Sí","")</f>
        <v/>
      </c>
      <c r="F220" s="3">
        <f t="shared" si="6"/>
        <v>1</v>
      </c>
      <c r="G220" t="str">
        <f t="shared" si="7"/>
        <v>Ciencia</v>
      </c>
    </row>
    <row r="221" spans="1:7" x14ac:dyDescent="0.25">
      <c r="A221" t="s">
        <v>687</v>
      </c>
      <c r="B221" t="s">
        <v>688</v>
      </c>
      <c r="C221" s="3" t="str">
        <f>IF(COUNTIF(ciencia!$B:$B,$B221)&gt;0,"Sí","")</f>
        <v>Sí</v>
      </c>
      <c r="D221" s="3" t="str">
        <f>IF(COUNTIF(ia!$B:$B,$B221)&gt;0,"Sí","")</f>
        <v/>
      </c>
      <c r="E221" s="3" t="str">
        <f>IF(COUNTIF(graficas!$B:$B,$B221)&gt;0,"Sí","")</f>
        <v/>
      </c>
      <c r="F221" s="3">
        <f t="shared" si="6"/>
        <v>1</v>
      </c>
      <c r="G221" t="str">
        <f t="shared" si="7"/>
        <v>Ciencia</v>
      </c>
    </row>
    <row r="222" spans="1:7" x14ac:dyDescent="0.25">
      <c r="A222" t="s">
        <v>829</v>
      </c>
      <c r="B222" t="s">
        <v>690</v>
      </c>
      <c r="C222" s="3" t="str">
        <f>IF(COUNTIF(ciencia!$B:$B,$B222)&gt;0,"Sí","")</f>
        <v>Sí</v>
      </c>
      <c r="D222" s="3" t="str">
        <f>IF(COUNTIF(ia!$B:$B,$B222)&gt;0,"Sí","")</f>
        <v/>
      </c>
      <c r="E222" s="3" t="str">
        <f>IF(COUNTIF(graficas!$B:$B,$B222)&gt;0,"Sí","")</f>
        <v/>
      </c>
      <c r="F222" s="3">
        <f t="shared" si="6"/>
        <v>1</v>
      </c>
      <c r="G222" t="str">
        <f t="shared" si="7"/>
        <v>Ciencia</v>
      </c>
    </row>
    <row r="223" spans="1:7" x14ac:dyDescent="0.25">
      <c r="A223" t="s">
        <v>691</v>
      </c>
      <c r="B223" t="s">
        <v>692</v>
      </c>
      <c r="C223" s="3" t="str">
        <f>IF(COUNTIF(ciencia!$B:$B,$B223)&gt;0,"Sí","")</f>
        <v>Sí</v>
      </c>
      <c r="D223" s="3" t="str">
        <f>IF(COUNTIF(ia!$B:$B,$B223)&gt;0,"Sí","")</f>
        <v/>
      </c>
      <c r="E223" s="3" t="str">
        <f>IF(COUNTIF(graficas!$B:$B,$B223)&gt;0,"Sí","")</f>
        <v/>
      </c>
      <c r="F223" s="3">
        <f t="shared" si="6"/>
        <v>1</v>
      </c>
      <c r="G223" t="str">
        <f t="shared" si="7"/>
        <v>Ciencia</v>
      </c>
    </row>
    <row r="224" spans="1:7" x14ac:dyDescent="0.25">
      <c r="A224" t="s">
        <v>693</v>
      </c>
      <c r="B224" t="s">
        <v>694</v>
      </c>
      <c r="C224" s="3" t="str">
        <f>IF(COUNTIF(ciencia!$B:$B,$B224)&gt;0,"Sí","")</f>
        <v>Sí</v>
      </c>
      <c r="D224" s="3" t="str">
        <f>IF(COUNTIF(ia!$B:$B,$B224)&gt;0,"Sí","")</f>
        <v/>
      </c>
      <c r="E224" s="3" t="str">
        <f>IF(COUNTIF(graficas!$B:$B,$B224)&gt;0,"Sí","")</f>
        <v/>
      </c>
      <c r="F224" s="3">
        <f t="shared" si="6"/>
        <v>1</v>
      </c>
      <c r="G224" t="str">
        <f t="shared" si="7"/>
        <v>Ciencia</v>
      </c>
    </row>
    <row r="225" spans="1:7" x14ac:dyDescent="0.25">
      <c r="A225" t="s">
        <v>695</v>
      </c>
      <c r="B225" t="s">
        <v>696</v>
      </c>
      <c r="C225" s="3" t="str">
        <f>IF(COUNTIF(ciencia!$B:$B,$B225)&gt;0,"Sí","")</f>
        <v>Sí</v>
      </c>
      <c r="D225" s="3" t="str">
        <f>IF(COUNTIF(ia!$B:$B,$B225)&gt;0,"Sí","")</f>
        <v/>
      </c>
      <c r="E225" s="3" t="str">
        <f>IF(COUNTIF(graficas!$B:$B,$B225)&gt;0,"Sí","")</f>
        <v/>
      </c>
      <c r="F225" s="3">
        <f t="shared" si="6"/>
        <v>1</v>
      </c>
      <c r="G225" t="str">
        <f t="shared" si="7"/>
        <v>Ciencia</v>
      </c>
    </row>
    <row r="226" spans="1:7" x14ac:dyDescent="0.25">
      <c r="A226" t="s">
        <v>697</v>
      </c>
      <c r="B226" t="s">
        <v>698</v>
      </c>
      <c r="C226" s="3" t="str">
        <f>IF(COUNTIF(ciencia!$B:$B,$B226)&gt;0,"Sí","")</f>
        <v>Sí</v>
      </c>
      <c r="D226" s="3" t="str">
        <f>IF(COUNTIF(ia!$B:$B,$B226)&gt;0,"Sí","")</f>
        <v/>
      </c>
      <c r="E226" s="3" t="str">
        <f>IF(COUNTIF(graficas!$B:$B,$B226)&gt;0,"Sí","")</f>
        <v/>
      </c>
      <c r="F226" s="3">
        <f t="shared" si="6"/>
        <v>1</v>
      </c>
      <c r="G226" t="str">
        <f t="shared" si="7"/>
        <v>Ciencia</v>
      </c>
    </row>
    <row r="227" spans="1:7" x14ac:dyDescent="0.25">
      <c r="A227" t="s">
        <v>699</v>
      </c>
      <c r="B227" t="s">
        <v>700</v>
      </c>
      <c r="C227" s="3" t="str">
        <f>IF(COUNTIF(ciencia!$B:$B,$B227)&gt;0,"Sí","")</f>
        <v>Sí</v>
      </c>
      <c r="D227" s="3" t="str">
        <f>IF(COUNTIF(ia!$B:$B,$B227)&gt;0,"Sí","")</f>
        <v/>
      </c>
      <c r="E227" s="3" t="str">
        <f>IF(COUNTIF(graficas!$B:$B,$B227)&gt;0,"Sí","")</f>
        <v/>
      </c>
      <c r="F227" s="3">
        <f t="shared" si="6"/>
        <v>1</v>
      </c>
      <c r="G227" t="str">
        <f t="shared" si="7"/>
        <v>Ciencia</v>
      </c>
    </row>
    <row r="228" spans="1:7" x14ac:dyDescent="0.25">
      <c r="A228" t="s">
        <v>701</v>
      </c>
      <c r="B228" t="s">
        <v>702</v>
      </c>
      <c r="C228" s="3" t="str">
        <f>IF(COUNTIF(ciencia!$B:$B,$B228)&gt;0,"Sí","")</f>
        <v>Sí</v>
      </c>
      <c r="D228" s="3" t="str">
        <f>IF(COUNTIF(ia!$B:$B,$B228)&gt;0,"Sí","")</f>
        <v/>
      </c>
      <c r="E228" s="3" t="str">
        <f>IF(COUNTIF(graficas!$B:$B,$B228)&gt;0,"Sí","")</f>
        <v/>
      </c>
      <c r="F228" s="3">
        <f t="shared" si="6"/>
        <v>1</v>
      </c>
      <c r="G228" t="str">
        <f t="shared" si="7"/>
        <v>Ciencia</v>
      </c>
    </row>
    <row r="229" spans="1:7" x14ac:dyDescent="0.25">
      <c r="A229" t="s">
        <v>703</v>
      </c>
      <c r="B229" t="s">
        <v>704</v>
      </c>
      <c r="C229" s="3" t="str">
        <f>IF(COUNTIF(ciencia!$B:$B,$B229)&gt;0,"Sí","")</f>
        <v>Sí</v>
      </c>
      <c r="D229" s="3" t="str">
        <f>IF(COUNTIF(ia!$B:$B,$B229)&gt;0,"Sí","")</f>
        <v/>
      </c>
      <c r="E229" s="3" t="str">
        <f>IF(COUNTIF(graficas!$B:$B,$B229)&gt;0,"Sí","")</f>
        <v/>
      </c>
      <c r="F229" s="3">
        <f t="shared" si="6"/>
        <v>1</v>
      </c>
      <c r="G229" t="str">
        <f t="shared" si="7"/>
        <v>Ciencia</v>
      </c>
    </row>
    <row r="230" spans="1:7" x14ac:dyDescent="0.25">
      <c r="A230" t="s">
        <v>705</v>
      </c>
      <c r="B230" t="s">
        <v>706</v>
      </c>
      <c r="C230" s="3" t="str">
        <f>IF(COUNTIF(ciencia!$B:$B,$B230)&gt;0,"Sí","")</f>
        <v>Sí</v>
      </c>
      <c r="D230" s="3" t="str">
        <f>IF(COUNTIF(ia!$B:$B,$B230)&gt;0,"Sí","")</f>
        <v/>
      </c>
      <c r="E230" s="3" t="str">
        <f>IF(COUNTIF(graficas!$B:$B,$B230)&gt;0,"Sí","")</f>
        <v/>
      </c>
      <c r="F230" s="3">
        <f t="shared" si="6"/>
        <v>1</v>
      </c>
      <c r="G230" t="str">
        <f t="shared" si="7"/>
        <v>Ciencia</v>
      </c>
    </row>
    <row r="231" spans="1:7" x14ac:dyDescent="0.25">
      <c r="A231" t="s">
        <v>830</v>
      </c>
      <c r="B231" t="s">
        <v>183</v>
      </c>
      <c r="C231" s="3" t="str">
        <f>IF(COUNTIF(ciencia!$B:$B,$B231)&gt;0,"Sí","")</f>
        <v>Sí</v>
      </c>
      <c r="D231" s="3" t="str">
        <f>IF(COUNTIF(ia!$B:$B,$B231)&gt;0,"Sí","")</f>
        <v>Sí</v>
      </c>
      <c r="E231" s="3" t="str">
        <f>IF(COUNTIF(graficas!$B:$B,$B231)&gt;0,"Sí","")</f>
        <v/>
      </c>
      <c r="F231" s="3">
        <f t="shared" si="6"/>
        <v>2</v>
      </c>
      <c r="G231" t="str">
        <f t="shared" si="7"/>
        <v>Ciencia, IA</v>
      </c>
    </row>
    <row r="232" spans="1:7" x14ac:dyDescent="0.25">
      <c r="A232" t="s">
        <v>707</v>
      </c>
      <c r="B232" t="s">
        <v>708</v>
      </c>
      <c r="C232" s="3" t="str">
        <f>IF(COUNTIF(ciencia!$B:$B,$B232)&gt;0,"Sí","")</f>
        <v>Sí</v>
      </c>
      <c r="D232" s="3" t="str">
        <f>IF(COUNTIF(ia!$B:$B,$B232)&gt;0,"Sí","")</f>
        <v/>
      </c>
      <c r="E232" s="3" t="str">
        <f>IF(COUNTIF(graficas!$B:$B,$B232)&gt;0,"Sí","")</f>
        <v/>
      </c>
      <c r="F232" s="3">
        <f t="shared" si="6"/>
        <v>1</v>
      </c>
      <c r="G232" t="str">
        <f t="shared" si="7"/>
        <v>Ciencia</v>
      </c>
    </row>
    <row r="233" spans="1:7" x14ac:dyDescent="0.25">
      <c r="A233" t="s">
        <v>122</v>
      </c>
      <c r="B233" t="s">
        <v>123</v>
      </c>
      <c r="C233" s="3" t="str">
        <f>IF(COUNTIF(ciencia!$B:$B,$B233)&gt;0,"Sí","")</f>
        <v>Sí</v>
      </c>
      <c r="D233" s="3" t="str">
        <f>IF(COUNTIF(ia!$B:$B,$B233)&gt;0,"Sí","")</f>
        <v/>
      </c>
      <c r="E233" s="3" t="str">
        <f>IF(COUNTIF(graficas!$B:$B,$B233)&gt;0,"Sí","")</f>
        <v>Sí</v>
      </c>
      <c r="F233" s="3">
        <f t="shared" si="6"/>
        <v>2</v>
      </c>
      <c r="G233" t="str">
        <f t="shared" si="7"/>
        <v>Ciencia, Gráficas</v>
      </c>
    </row>
    <row r="234" spans="1:7" x14ac:dyDescent="0.25">
      <c r="A234" t="s">
        <v>34</v>
      </c>
      <c r="B234" t="s">
        <v>35</v>
      </c>
      <c r="C234" s="3" t="str">
        <f>IF(COUNTIF(ciencia!$B:$B,$B234)&gt;0,"Sí","")</f>
        <v>Sí</v>
      </c>
      <c r="D234" s="3" t="str">
        <f>IF(COUNTIF(ia!$B:$B,$B234)&gt;0,"Sí","")</f>
        <v/>
      </c>
      <c r="E234" s="3" t="str">
        <f>IF(COUNTIF(graficas!$B:$B,$B234)&gt;0,"Sí","")</f>
        <v>Sí</v>
      </c>
      <c r="F234" s="3">
        <f t="shared" si="6"/>
        <v>2</v>
      </c>
      <c r="G234" t="str">
        <f t="shared" si="7"/>
        <v>Ciencia, Gráficas</v>
      </c>
    </row>
    <row r="235" spans="1:7" x14ac:dyDescent="0.25">
      <c r="A235" t="s">
        <v>709</v>
      </c>
      <c r="B235" t="s">
        <v>710</v>
      </c>
      <c r="C235" s="3" t="str">
        <f>IF(COUNTIF(ciencia!$B:$B,$B235)&gt;0,"Sí","")</f>
        <v>Sí</v>
      </c>
      <c r="D235" s="3" t="str">
        <f>IF(COUNTIF(ia!$B:$B,$B235)&gt;0,"Sí","")</f>
        <v/>
      </c>
      <c r="E235" s="3" t="str">
        <f>IF(COUNTIF(graficas!$B:$B,$B235)&gt;0,"Sí","")</f>
        <v/>
      </c>
      <c r="F235" s="3">
        <f t="shared" si="6"/>
        <v>1</v>
      </c>
      <c r="G235" t="str">
        <f t="shared" si="7"/>
        <v>Ciencia</v>
      </c>
    </row>
    <row r="236" spans="1:7" x14ac:dyDescent="0.25">
      <c r="A236" t="s">
        <v>711</v>
      </c>
      <c r="B236" t="s">
        <v>712</v>
      </c>
      <c r="C236" s="3" t="str">
        <f>IF(COUNTIF(ciencia!$B:$B,$B236)&gt;0,"Sí","")</f>
        <v>Sí</v>
      </c>
      <c r="D236" s="3" t="str">
        <f>IF(COUNTIF(ia!$B:$B,$B236)&gt;0,"Sí","")</f>
        <v/>
      </c>
      <c r="E236" s="3" t="str">
        <f>IF(COUNTIF(graficas!$B:$B,$B236)&gt;0,"Sí","")</f>
        <v/>
      </c>
      <c r="F236" s="3">
        <f t="shared" si="6"/>
        <v>1</v>
      </c>
      <c r="G236" t="str">
        <f t="shared" si="7"/>
        <v>Ciencia</v>
      </c>
    </row>
    <row r="237" spans="1:7" x14ac:dyDescent="0.25">
      <c r="A237" t="s">
        <v>713</v>
      </c>
      <c r="B237" t="s">
        <v>714</v>
      </c>
      <c r="C237" s="3" t="str">
        <f>IF(COUNTIF(ciencia!$B:$B,$B237)&gt;0,"Sí","")</f>
        <v>Sí</v>
      </c>
      <c r="D237" s="3" t="str">
        <f>IF(COUNTIF(ia!$B:$B,$B237)&gt;0,"Sí","")</f>
        <v/>
      </c>
      <c r="E237" s="3" t="str">
        <f>IF(COUNTIF(graficas!$B:$B,$B237)&gt;0,"Sí","")</f>
        <v/>
      </c>
      <c r="F237" s="3">
        <f t="shared" si="6"/>
        <v>1</v>
      </c>
      <c r="G237" t="str">
        <f t="shared" si="7"/>
        <v>Ciencia</v>
      </c>
    </row>
    <row r="238" spans="1:7" x14ac:dyDescent="0.25">
      <c r="A238" t="s">
        <v>715</v>
      </c>
      <c r="B238" t="s">
        <v>716</v>
      </c>
      <c r="C238" s="3" t="str">
        <f>IF(COUNTIF(ciencia!$B:$B,$B238)&gt;0,"Sí","")</f>
        <v>Sí</v>
      </c>
      <c r="D238" s="3" t="str">
        <f>IF(COUNTIF(ia!$B:$B,$B238)&gt;0,"Sí","")</f>
        <v/>
      </c>
      <c r="E238" s="3" t="str">
        <f>IF(COUNTIF(graficas!$B:$B,$B238)&gt;0,"Sí","")</f>
        <v/>
      </c>
      <c r="F238" s="3">
        <f t="shared" si="6"/>
        <v>1</v>
      </c>
      <c r="G238" t="str">
        <f t="shared" si="7"/>
        <v>Ciencia</v>
      </c>
    </row>
    <row r="239" spans="1:7" x14ac:dyDescent="0.25">
      <c r="A239" t="s">
        <v>717</v>
      </c>
      <c r="B239" t="s">
        <v>718</v>
      </c>
      <c r="C239" s="3" t="str">
        <f>IF(COUNTIF(ciencia!$B:$B,$B239)&gt;0,"Sí","")</f>
        <v>Sí</v>
      </c>
      <c r="D239" s="3" t="str">
        <f>IF(COUNTIF(ia!$B:$B,$B239)&gt;0,"Sí","")</f>
        <v/>
      </c>
      <c r="E239" s="3" t="str">
        <f>IF(COUNTIF(graficas!$B:$B,$B239)&gt;0,"Sí","")</f>
        <v/>
      </c>
      <c r="F239" s="3">
        <f t="shared" si="6"/>
        <v>1</v>
      </c>
      <c r="G239" t="str">
        <f t="shared" si="7"/>
        <v>Ciencia</v>
      </c>
    </row>
    <row r="240" spans="1:7" x14ac:dyDescent="0.25">
      <c r="A240" t="s">
        <v>719</v>
      </c>
      <c r="B240" t="s">
        <v>720</v>
      </c>
      <c r="C240" s="3" t="str">
        <f>IF(COUNTIF(ciencia!$B:$B,$B240)&gt;0,"Sí","")</f>
        <v>Sí</v>
      </c>
      <c r="D240" s="3" t="str">
        <f>IF(COUNTIF(ia!$B:$B,$B240)&gt;0,"Sí","")</f>
        <v/>
      </c>
      <c r="E240" s="3" t="str">
        <f>IF(COUNTIF(graficas!$B:$B,$B240)&gt;0,"Sí","")</f>
        <v/>
      </c>
      <c r="F240" s="3">
        <f t="shared" si="6"/>
        <v>1</v>
      </c>
      <c r="G240" t="str">
        <f t="shared" si="7"/>
        <v>Ciencia</v>
      </c>
    </row>
    <row r="241" spans="1:7" x14ac:dyDescent="0.25">
      <c r="A241" t="s">
        <v>721</v>
      </c>
      <c r="B241" t="s">
        <v>722</v>
      </c>
      <c r="C241" s="3" t="str">
        <f>IF(COUNTIF(ciencia!$B:$B,$B241)&gt;0,"Sí","")</f>
        <v>Sí</v>
      </c>
      <c r="D241" s="3" t="str">
        <f>IF(COUNTIF(ia!$B:$B,$B241)&gt;0,"Sí","")</f>
        <v/>
      </c>
      <c r="E241" s="3" t="str">
        <f>IF(COUNTIF(graficas!$B:$B,$B241)&gt;0,"Sí","")</f>
        <v/>
      </c>
      <c r="F241" s="3">
        <f t="shared" si="6"/>
        <v>1</v>
      </c>
      <c r="G241" t="str">
        <f t="shared" si="7"/>
        <v>Ciencia</v>
      </c>
    </row>
    <row r="242" spans="1:7" x14ac:dyDescent="0.25">
      <c r="A242" t="s">
        <v>723</v>
      </c>
      <c r="B242" t="s">
        <v>724</v>
      </c>
      <c r="C242" s="3" t="str">
        <f>IF(COUNTIF(ciencia!$B:$B,$B242)&gt;0,"Sí","")</f>
        <v>Sí</v>
      </c>
      <c r="D242" s="3" t="str">
        <f>IF(COUNTIF(ia!$B:$B,$B242)&gt;0,"Sí","")</f>
        <v/>
      </c>
      <c r="E242" s="3" t="str">
        <f>IF(COUNTIF(graficas!$B:$B,$B242)&gt;0,"Sí","")</f>
        <v/>
      </c>
      <c r="F242" s="3">
        <f t="shared" si="6"/>
        <v>1</v>
      </c>
      <c r="G242" t="str">
        <f t="shared" si="7"/>
        <v>Ciencia</v>
      </c>
    </row>
    <row r="243" spans="1:7" x14ac:dyDescent="0.25">
      <c r="A243" t="s">
        <v>725</v>
      </c>
      <c r="B243" t="s">
        <v>726</v>
      </c>
      <c r="C243" s="3" t="str">
        <f>IF(COUNTIF(ciencia!$B:$B,$B243)&gt;0,"Sí","")</f>
        <v>Sí</v>
      </c>
      <c r="D243" s="3" t="str">
        <f>IF(COUNTIF(ia!$B:$B,$B243)&gt;0,"Sí","")</f>
        <v/>
      </c>
      <c r="E243" s="3" t="str">
        <f>IF(COUNTIF(graficas!$B:$B,$B243)&gt;0,"Sí","")</f>
        <v/>
      </c>
      <c r="F243" s="3">
        <f t="shared" si="6"/>
        <v>1</v>
      </c>
      <c r="G243" t="str">
        <f t="shared" si="7"/>
        <v>Ciencia</v>
      </c>
    </row>
    <row r="244" spans="1:7" x14ac:dyDescent="0.25">
      <c r="A244" t="s">
        <v>128</v>
      </c>
      <c r="B244" t="s">
        <v>129</v>
      </c>
      <c r="C244" s="3" t="str">
        <f>IF(COUNTIF(ciencia!$B:$B,$B244)&gt;0,"Sí","")</f>
        <v>Sí</v>
      </c>
      <c r="D244" s="3" t="str">
        <f>IF(COUNTIF(ia!$B:$B,$B244)&gt;0,"Sí","")</f>
        <v/>
      </c>
      <c r="E244" s="3" t="str">
        <f>IF(COUNTIF(graficas!$B:$B,$B244)&gt;0,"Sí","")</f>
        <v>Sí</v>
      </c>
      <c r="F244" s="3">
        <f t="shared" si="6"/>
        <v>2</v>
      </c>
      <c r="G244" t="str">
        <f t="shared" si="7"/>
        <v>Ciencia, Gráficas</v>
      </c>
    </row>
    <row r="245" spans="1:7" x14ac:dyDescent="0.25">
      <c r="A245" t="s">
        <v>132</v>
      </c>
      <c r="B245" t="s">
        <v>133</v>
      </c>
      <c r="C245" s="3" t="str">
        <f>IF(COUNTIF(ciencia!$B:$B,$B245)&gt;0,"Sí","")</f>
        <v>Sí</v>
      </c>
      <c r="D245" s="3" t="str">
        <f>IF(COUNTIF(ia!$B:$B,$B245)&gt;0,"Sí","")</f>
        <v/>
      </c>
      <c r="E245" s="3" t="str">
        <f>IF(COUNTIF(graficas!$B:$B,$B245)&gt;0,"Sí","")</f>
        <v>Sí</v>
      </c>
      <c r="F245" s="3">
        <f t="shared" si="6"/>
        <v>2</v>
      </c>
      <c r="G245" t="str">
        <f t="shared" si="7"/>
        <v>Ciencia, Gráficas</v>
      </c>
    </row>
    <row r="246" spans="1:7" x14ac:dyDescent="0.25">
      <c r="A246" t="s">
        <v>136</v>
      </c>
      <c r="B246" t="s">
        <v>137</v>
      </c>
      <c r="C246" s="3" t="str">
        <f>IF(COUNTIF(ciencia!$B:$B,$B246)&gt;0,"Sí","")</f>
        <v>Sí</v>
      </c>
      <c r="D246" s="3" t="str">
        <f>IF(COUNTIF(ia!$B:$B,$B246)&gt;0,"Sí","")</f>
        <v/>
      </c>
      <c r="E246" s="3" t="str">
        <f>IF(COUNTIF(graficas!$B:$B,$B246)&gt;0,"Sí","")</f>
        <v>Sí</v>
      </c>
      <c r="F246" s="3">
        <f t="shared" si="6"/>
        <v>2</v>
      </c>
      <c r="G246" t="str">
        <f t="shared" si="7"/>
        <v>Ciencia, Gráficas</v>
      </c>
    </row>
    <row r="247" spans="1:7" x14ac:dyDescent="0.25">
      <c r="A247" t="s">
        <v>727</v>
      </c>
      <c r="B247" t="s">
        <v>728</v>
      </c>
      <c r="C247" s="3" t="str">
        <f>IF(COUNTIF(ciencia!$B:$B,$B247)&gt;0,"Sí","")</f>
        <v>Sí</v>
      </c>
      <c r="D247" s="3" t="str">
        <f>IF(COUNTIF(ia!$B:$B,$B247)&gt;0,"Sí","")</f>
        <v/>
      </c>
      <c r="E247" s="3" t="str">
        <f>IF(COUNTIF(graficas!$B:$B,$B247)&gt;0,"Sí","")</f>
        <v/>
      </c>
      <c r="F247" s="3">
        <f t="shared" si="6"/>
        <v>1</v>
      </c>
      <c r="G247" t="str">
        <f t="shared" si="7"/>
        <v>Ciencia</v>
      </c>
    </row>
    <row r="248" spans="1:7" x14ac:dyDescent="0.25">
      <c r="A248" t="s">
        <v>729</v>
      </c>
      <c r="B248" t="s">
        <v>730</v>
      </c>
      <c r="C248" s="3" t="str">
        <f>IF(COUNTIF(ciencia!$B:$B,$B248)&gt;0,"Sí","")</f>
        <v>Sí</v>
      </c>
      <c r="D248" s="3" t="str">
        <f>IF(COUNTIF(ia!$B:$B,$B248)&gt;0,"Sí","")</f>
        <v/>
      </c>
      <c r="E248" s="3" t="str">
        <f>IF(COUNTIF(graficas!$B:$B,$B248)&gt;0,"Sí","")</f>
        <v/>
      </c>
      <c r="F248" s="3">
        <f t="shared" si="6"/>
        <v>1</v>
      </c>
      <c r="G248" t="str">
        <f t="shared" si="7"/>
        <v>Ciencia</v>
      </c>
    </row>
    <row r="249" spans="1:7" x14ac:dyDescent="0.25">
      <c r="A249" t="s">
        <v>731</v>
      </c>
      <c r="B249" t="s">
        <v>732</v>
      </c>
      <c r="C249" s="3" t="str">
        <f>IF(COUNTIF(ciencia!$B:$B,$B249)&gt;0,"Sí","")</f>
        <v>Sí</v>
      </c>
      <c r="D249" s="3" t="str">
        <f>IF(COUNTIF(ia!$B:$B,$B249)&gt;0,"Sí","")</f>
        <v/>
      </c>
      <c r="E249" s="3" t="str">
        <f>IF(COUNTIF(graficas!$B:$B,$B249)&gt;0,"Sí","")</f>
        <v/>
      </c>
      <c r="F249" s="3">
        <f t="shared" si="6"/>
        <v>1</v>
      </c>
      <c r="G249" t="str">
        <f t="shared" si="7"/>
        <v>Ciencia</v>
      </c>
    </row>
    <row r="250" spans="1:7" x14ac:dyDescent="0.25">
      <c r="A250" t="s">
        <v>733</v>
      </c>
      <c r="B250" t="s">
        <v>734</v>
      </c>
      <c r="C250" s="3" t="str">
        <f>IF(COUNTIF(ciencia!$B:$B,$B250)&gt;0,"Sí","")</f>
        <v>Sí</v>
      </c>
      <c r="D250" s="3" t="str">
        <f>IF(COUNTIF(ia!$B:$B,$B250)&gt;0,"Sí","")</f>
        <v/>
      </c>
      <c r="E250" s="3" t="str">
        <f>IF(COUNTIF(graficas!$B:$B,$B250)&gt;0,"Sí","")</f>
        <v/>
      </c>
      <c r="F250" s="3">
        <f t="shared" si="6"/>
        <v>1</v>
      </c>
      <c r="G250" t="str">
        <f t="shared" si="7"/>
        <v>Ciencia</v>
      </c>
    </row>
    <row r="251" spans="1:7" x14ac:dyDescent="0.25">
      <c r="A251" t="s">
        <v>138</v>
      </c>
      <c r="B251" t="s">
        <v>139</v>
      </c>
      <c r="C251" s="3" t="str">
        <f>IF(COUNTIF(ciencia!$B:$B,$B251)&gt;0,"Sí","")</f>
        <v>Sí</v>
      </c>
      <c r="D251" s="3" t="str">
        <f>IF(COUNTIF(ia!$B:$B,$B251)&gt;0,"Sí","")</f>
        <v/>
      </c>
      <c r="E251" s="3" t="str">
        <f>IF(COUNTIF(graficas!$B:$B,$B251)&gt;0,"Sí","")</f>
        <v>Sí</v>
      </c>
      <c r="F251" s="3">
        <f t="shared" si="6"/>
        <v>2</v>
      </c>
      <c r="G251" t="str">
        <f t="shared" si="7"/>
        <v>Ciencia, Gráficas</v>
      </c>
    </row>
    <row r="252" spans="1:7" x14ac:dyDescent="0.25">
      <c r="A252" t="s">
        <v>831</v>
      </c>
      <c r="B252" t="s">
        <v>736</v>
      </c>
      <c r="C252" s="3" t="str">
        <f>IF(COUNTIF(ciencia!$B:$B,$B252)&gt;0,"Sí","")</f>
        <v>Sí</v>
      </c>
      <c r="D252" s="3" t="str">
        <f>IF(COUNTIF(ia!$B:$B,$B252)&gt;0,"Sí","")</f>
        <v/>
      </c>
      <c r="E252" s="3" t="str">
        <f>IF(COUNTIF(graficas!$B:$B,$B252)&gt;0,"Sí","")</f>
        <v/>
      </c>
      <c r="F252" s="3">
        <f t="shared" si="6"/>
        <v>1</v>
      </c>
      <c r="G252" t="str">
        <f t="shared" si="7"/>
        <v>Ciencia</v>
      </c>
    </row>
    <row r="253" spans="1:7" x14ac:dyDescent="0.25">
      <c r="A253" t="s">
        <v>737</v>
      </c>
      <c r="B253" t="s">
        <v>738</v>
      </c>
      <c r="C253" s="3" t="str">
        <f>IF(COUNTIF(ciencia!$B:$B,$B253)&gt;0,"Sí","")</f>
        <v>Sí</v>
      </c>
      <c r="D253" s="3" t="str">
        <f>IF(COUNTIF(ia!$B:$B,$B253)&gt;0,"Sí","")</f>
        <v/>
      </c>
      <c r="E253" s="3" t="str">
        <f>IF(COUNTIF(graficas!$B:$B,$B253)&gt;0,"Sí","")</f>
        <v/>
      </c>
      <c r="F253" s="3">
        <f t="shared" si="6"/>
        <v>1</v>
      </c>
      <c r="G253" t="str">
        <f t="shared" si="7"/>
        <v>Ciencia</v>
      </c>
    </row>
    <row r="254" spans="1:7" x14ac:dyDescent="0.25">
      <c r="A254" t="s">
        <v>142</v>
      </c>
      <c r="B254" t="s">
        <v>143</v>
      </c>
      <c r="C254" s="3" t="str">
        <f>IF(COUNTIF(ciencia!$B:$B,$B254)&gt;0,"Sí","")</f>
        <v>Sí</v>
      </c>
      <c r="D254" s="3" t="str">
        <f>IF(COUNTIF(ia!$B:$B,$B254)&gt;0,"Sí","")</f>
        <v/>
      </c>
      <c r="E254" s="3" t="str">
        <f>IF(COUNTIF(graficas!$B:$B,$B254)&gt;0,"Sí","")</f>
        <v>Sí</v>
      </c>
      <c r="F254" s="3">
        <f t="shared" si="6"/>
        <v>2</v>
      </c>
      <c r="G254" t="str">
        <f t="shared" si="7"/>
        <v>Ciencia, Gráficas</v>
      </c>
    </row>
    <row r="255" spans="1:7" x14ac:dyDescent="0.25">
      <c r="A255" t="s">
        <v>739</v>
      </c>
      <c r="B255" t="s">
        <v>740</v>
      </c>
      <c r="C255" s="3" t="str">
        <f>IF(COUNTIF(ciencia!$B:$B,$B255)&gt;0,"Sí","")</f>
        <v>Sí</v>
      </c>
      <c r="D255" s="3" t="str">
        <f>IF(COUNTIF(ia!$B:$B,$B255)&gt;0,"Sí","")</f>
        <v/>
      </c>
      <c r="E255" s="3" t="str">
        <f>IF(COUNTIF(graficas!$B:$B,$B255)&gt;0,"Sí","")</f>
        <v/>
      </c>
      <c r="F255" s="3">
        <f t="shared" si="6"/>
        <v>1</v>
      </c>
      <c r="G255" t="str">
        <f t="shared" si="7"/>
        <v>Ciencia</v>
      </c>
    </row>
    <row r="256" spans="1:7" x14ac:dyDescent="0.25">
      <c r="A256" t="s">
        <v>741</v>
      </c>
      <c r="B256" t="s">
        <v>742</v>
      </c>
      <c r="C256" s="3" t="str">
        <f>IF(COUNTIF(ciencia!$B:$B,$B256)&gt;0,"Sí","")</f>
        <v>Sí</v>
      </c>
      <c r="D256" s="3" t="str">
        <f>IF(COUNTIF(ia!$B:$B,$B256)&gt;0,"Sí","")</f>
        <v/>
      </c>
      <c r="E256" s="3" t="str">
        <f>IF(COUNTIF(graficas!$B:$B,$B256)&gt;0,"Sí","")</f>
        <v/>
      </c>
      <c r="F256" s="3">
        <f t="shared" si="6"/>
        <v>1</v>
      </c>
      <c r="G256" t="str">
        <f t="shared" si="7"/>
        <v>Ciencia</v>
      </c>
    </row>
    <row r="257" spans="1:7" x14ac:dyDescent="0.25">
      <c r="A257" t="s">
        <v>743</v>
      </c>
      <c r="B257" t="s">
        <v>744</v>
      </c>
      <c r="C257" s="3" t="str">
        <f>IF(COUNTIF(ciencia!$B:$B,$B257)&gt;0,"Sí","")</f>
        <v>Sí</v>
      </c>
      <c r="D257" s="3" t="str">
        <f>IF(COUNTIF(ia!$B:$B,$B257)&gt;0,"Sí","")</f>
        <v/>
      </c>
      <c r="E257" s="3" t="str">
        <f>IF(COUNTIF(graficas!$B:$B,$B257)&gt;0,"Sí","")</f>
        <v/>
      </c>
      <c r="F257" s="3">
        <f t="shared" si="6"/>
        <v>1</v>
      </c>
      <c r="G257" t="str">
        <f t="shared" si="7"/>
        <v>Ciencia</v>
      </c>
    </row>
    <row r="258" spans="1:7" x14ac:dyDescent="0.25">
      <c r="A258" t="s">
        <v>745</v>
      </c>
      <c r="B258" t="s">
        <v>746</v>
      </c>
      <c r="C258" s="3" t="str">
        <f>IF(COUNTIF(ciencia!$B:$B,$B258)&gt;0,"Sí","")</f>
        <v>Sí</v>
      </c>
      <c r="D258" s="3" t="str">
        <f>IF(COUNTIF(ia!$B:$B,$B258)&gt;0,"Sí","")</f>
        <v/>
      </c>
      <c r="E258" s="3" t="str">
        <f>IF(COUNTIF(graficas!$B:$B,$B258)&gt;0,"Sí","")</f>
        <v/>
      </c>
      <c r="F258" s="3">
        <f t="shared" si="6"/>
        <v>1</v>
      </c>
      <c r="G258" t="str">
        <f t="shared" si="7"/>
        <v>Ciencia</v>
      </c>
    </row>
    <row r="259" spans="1:7" x14ac:dyDescent="0.25">
      <c r="A259" t="s">
        <v>18</v>
      </c>
      <c r="B259" t="s">
        <v>19</v>
      </c>
      <c r="C259" s="3" t="str">
        <f>IF(COUNTIF(ciencia!$B:$B,$B259)&gt;0,"Sí","")</f>
        <v>Sí</v>
      </c>
      <c r="D259" s="3" t="str">
        <f>IF(COUNTIF(ia!$B:$B,$B259)&gt;0,"Sí","")</f>
        <v/>
      </c>
      <c r="E259" s="3" t="str">
        <f>IF(COUNTIF(graficas!$B:$B,$B259)&gt;0,"Sí","")</f>
        <v>Sí</v>
      </c>
      <c r="F259" s="3">
        <f t="shared" ref="F259:F322" si="8">COUNTIF(C259:E259,"Sí")</f>
        <v>2</v>
      </c>
      <c r="G259" t="str">
        <f t="shared" ref="G259:G322" si="9">_xlfn.TEXTJOIN(", ",TRUE,IF(C259="Sí","Ciencia",""),IF(D259="Sí","IA",""),IF(E259="Sí","Gráficas",""))</f>
        <v>Ciencia, Gráficas</v>
      </c>
    </row>
    <row r="260" spans="1:7" x14ac:dyDescent="0.25">
      <c r="A260" t="s">
        <v>747</v>
      </c>
      <c r="B260" t="s">
        <v>748</v>
      </c>
      <c r="C260" s="3" t="str">
        <f>IF(COUNTIF(ciencia!$B:$B,$B260)&gt;0,"Sí","")</f>
        <v>Sí</v>
      </c>
      <c r="D260" s="3" t="str">
        <f>IF(COUNTIF(ia!$B:$B,$B260)&gt;0,"Sí","")</f>
        <v/>
      </c>
      <c r="E260" s="3" t="str">
        <f>IF(COUNTIF(graficas!$B:$B,$B260)&gt;0,"Sí","")</f>
        <v/>
      </c>
      <c r="F260" s="3">
        <f t="shared" si="8"/>
        <v>1</v>
      </c>
      <c r="G260" t="str">
        <f t="shared" si="9"/>
        <v>Ciencia</v>
      </c>
    </row>
    <row r="261" spans="1:7" x14ac:dyDescent="0.25">
      <c r="A261" t="s">
        <v>749</v>
      </c>
      <c r="B261" t="s">
        <v>750</v>
      </c>
      <c r="C261" s="3" t="str">
        <f>IF(COUNTIF(ciencia!$B:$B,$B261)&gt;0,"Sí","")</f>
        <v>Sí</v>
      </c>
      <c r="D261" s="3" t="str">
        <f>IF(COUNTIF(ia!$B:$B,$B261)&gt;0,"Sí","")</f>
        <v/>
      </c>
      <c r="E261" s="3" t="str">
        <f>IF(COUNTIF(graficas!$B:$B,$B261)&gt;0,"Sí","")</f>
        <v/>
      </c>
      <c r="F261" s="3">
        <f t="shared" si="8"/>
        <v>1</v>
      </c>
      <c r="G261" t="str">
        <f t="shared" si="9"/>
        <v>Ciencia</v>
      </c>
    </row>
    <row r="262" spans="1:7" x14ac:dyDescent="0.25">
      <c r="A262" t="s">
        <v>751</v>
      </c>
      <c r="B262" t="s">
        <v>752</v>
      </c>
      <c r="C262" s="3" t="str">
        <f>IF(COUNTIF(ciencia!$B:$B,$B262)&gt;0,"Sí","")</f>
        <v>Sí</v>
      </c>
      <c r="D262" s="3" t="str">
        <f>IF(COUNTIF(ia!$B:$B,$B262)&gt;0,"Sí","")</f>
        <v/>
      </c>
      <c r="E262" s="3" t="str">
        <f>IF(COUNTIF(graficas!$B:$B,$B262)&gt;0,"Sí","")</f>
        <v/>
      </c>
      <c r="F262" s="3">
        <f t="shared" si="8"/>
        <v>1</v>
      </c>
      <c r="G262" t="str">
        <f t="shared" si="9"/>
        <v>Ciencia</v>
      </c>
    </row>
    <row r="263" spans="1:7" x14ac:dyDescent="0.25">
      <c r="A263" t="s">
        <v>753</v>
      </c>
      <c r="B263" t="s">
        <v>754</v>
      </c>
      <c r="C263" s="3" t="str">
        <f>IF(COUNTIF(ciencia!$B:$B,$B263)&gt;0,"Sí","")</f>
        <v>Sí</v>
      </c>
      <c r="D263" s="3" t="str">
        <f>IF(COUNTIF(ia!$B:$B,$B263)&gt;0,"Sí","")</f>
        <v/>
      </c>
      <c r="E263" s="3" t="str">
        <f>IF(COUNTIF(graficas!$B:$B,$B263)&gt;0,"Sí","")</f>
        <v/>
      </c>
      <c r="F263" s="3">
        <f t="shared" si="8"/>
        <v>1</v>
      </c>
      <c r="G263" t="str">
        <f t="shared" si="9"/>
        <v>Ciencia</v>
      </c>
    </row>
    <row r="264" spans="1:7" x14ac:dyDescent="0.25">
      <c r="A264" t="s">
        <v>230</v>
      </c>
      <c r="B264" t="s">
        <v>231</v>
      </c>
      <c r="C264" s="3" t="str">
        <f>IF(COUNTIF(ciencia!$B:$B,$B264)&gt;0,"Sí","")</f>
        <v>Sí</v>
      </c>
      <c r="D264" s="3" t="str">
        <f>IF(COUNTIF(ia!$B:$B,$B264)&gt;0,"Sí","")</f>
        <v>Sí</v>
      </c>
      <c r="E264" s="3" t="str">
        <f>IF(COUNTIF(graficas!$B:$B,$B264)&gt;0,"Sí","")</f>
        <v/>
      </c>
      <c r="F264" s="3">
        <f t="shared" si="8"/>
        <v>2</v>
      </c>
      <c r="G264" t="str">
        <f t="shared" si="9"/>
        <v>Ciencia, IA</v>
      </c>
    </row>
    <row r="265" spans="1:7" x14ac:dyDescent="0.25">
      <c r="A265" t="s">
        <v>755</v>
      </c>
      <c r="B265" t="s">
        <v>756</v>
      </c>
      <c r="C265" s="3" t="str">
        <f>IF(COUNTIF(ciencia!$B:$B,$B265)&gt;0,"Sí","")</f>
        <v>Sí</v>
      </c>
      <c r="D265" s="3" t="str">
        <f>IF(COUNTIF(ia!$B:$B,$B265)&gt;0,"Sí","")</f>
        <v/>
      </c>
      <c r="E265" s="3" t="str">
        <f>IF(COUNTIF(graficas!$B:$B,$B265)&gt;0,"Sí","")</f>
        <v/>
      </c>
      <c r="F265" s="3">
        <f t="shared" si="8"/>
        <v>1</v>
      </c>
      <c r="G265" t="str">
        <f t="shared" si="9"/>
        <v>Ciencia</v>
      </c>
    </row>
    <row r="266" spans="1:7" x14ac:dyDescent="0.25">
      <c r="A266" t="s">
        <v>757</v>
      </c>
      <c r="B266" t="s">
        <v>758</v>
      </c>
      <c r="C266" s="3" t="str">
        <f>IF(COUNTIF(ciencia!$B:$B,$B266)&gt;0,"Sí","")</f>
        <v>Sí</v>
      </c>
      <c r="D266" s="3" t="str">
        <f>IF(COUNTIF(ia!$B:$B,$B266)&gt;0,"Sí","")</f>
        <v/>
      </c>
      <c r="E266" s="3" t="str">
        <f>IF(COUNTIF(graficas!$B:$B,$B266)&gt;0,"Sí","")</f>
        <v/>
      </c>
      <c r="F266" s="3">
        <f t="shared" si="8"/>
        <v>1</v>
      </c>
      <c r="G266" t="str">
        <f t="shared" si="9"/>
        <v>Ciencia</v>
      </c>
    </row>
    <row r="267" spans="1:7" x14ac:dyDescent="0.25">
      <c r="A267" t="s">
        <v>124</v>
      </c>
      <c r="B267" t="s">
        <v>125</v>
      </c>
      <c r="C267" s="3" t="str">
        <f>IF(COUNTIF(ciencia!$B:$B,$B267)&gt;0,"Sí","")</f>
        <v>Sí</v>
      </c>
      <c r="D267" s="3" t="str">
        <f>IF(COUNTIF(ia!$B:$B,$B267)&gt;0,"Sí","")</f>
        <v/>
      </c>
      <c r="E267" s="3" t="str">
        <f>IF(COUNTIF(graficas!$B:$B,$B267)&gt;0,"Sí","")</f>
        <v>Sí</v>
      </c>
      <c r="F267" s="3">
        <f t="shared" si="8"/>
        <v>2</v>
      </c>
      <c r="G267" t="str">
        <f t="shared" si="9"/>
        <v>Ciencia, Gráficas</v>
      </c>
    </row>
    <row r="268" spans="1:7" x14ac:dyDescent="0.25">
      <c r="A268" t="s">
        <v>759</v>
      </c>
      <c r="B268" t="s">
        <v>760</v>
      </c>
      <c r="C268" s="3" t="str">
        <f>IF(COUNTIF(ciencia!$B:$B,$B268)&gt;0,"Sí","")</f>
        <v>Sí</v>
      </c>
      <c r="D268" s="3" t="str">
        <f>IF(COUNTIF(ia!$B:$B,$B268)&gt;0,"Sí","")</f>
        <v/>
      </c>
      <c r="E268" s="3" t="str">
        <f>IF(COUNTIF(graficas!$B:$B,$B268)&gt;0,"Sí","")</f>
        <v/>
      </c>
      <c r="F268" s="3">
        <f t="shared" si="8"/>
        <v>1</v>
      </c>
      <c r="G268" t="str">
        <f t="shared" si="9"/>
        <v>Ciencia</v>
      </c>
    </row>
    <row r="269" spans="1:7" x14ac:dyDescent="0.25">
      <c r="A269" t="s">
        <v>761</v>
      </c>
      <c r="B269" t="s">
        <v>762</v>
      </c>
      <c r="C269" s="3" t="str">
        <f>IF(COUNTIF(ciencia!$B:$B,$B269)&gt;0,"Sí","")</f>
        <v>Sí</v>
      </c>
      <c r="D269" s="3" t="str">
        <f>IF(COUNTIF(ia!$B:$B,$B269)&gt;0,"Sí","")</f>
        <v/>
      </c>
      <c r="E269" s="3" t="str">
        <f>IF(COUNTIF(graficas!$B:$B,$B269)&gt;0,"Sí","")</f>
        <v/>
      </c>
      <c r="F269" s="3">
        <f t="shared" si="8"/>
        <v>1</v>
      </c>
      <c r="G269" t="str">
        <f t="shared" si="9"/>
        <v>Ciencia</v>
      </c>
    </row>
    <row r="270" spans="1:7" x14ac:dyDescent="0.25">
      <c r="A270" t="s">
        <v>763</v>
      </c>
      <c r="B270" t="s">
        <v>764</v>
      </c>
      <c r="C270" s="3" t="str">
        <f>IF(COUNTIF(ciencia!$B:$B,$B270)&gt;0,"Sí","")</f>
        <v>Sí</v>
      </c>
      <c r="D270" s="3" t="str">
        <f>IF(COUNTIF(ia!$B:$B,$B270)&gt;0,"Sí","")</f>
        <v/>
      </c>
      <c r="E270" s="3" t="str">
        <f>IF(COUNTIF(graficas!$B:$B,$B270)&gt;0,"Sí","")</f>
        <v/>
      </c>
      <c r="F270" s="3">
        <f t="shared" si="8"/>
        <v>1</v>
      </c>
      <c r="G270" t="str">
        <f t="shared" si="9"/>
        <v>Ciencia</v>
      </c>
    </row>
    <row r="271" spans="1:7" x14ac:dyDescent="0.25">
      <c r="A271" t="s">
        <v>765</v>
      </c>
      <c r="B271" t="s">
        <v>766</v>
      </c>
      <c r="C271" s="3" t="str">
        <f>IF(COUNTIF(ciencia!$B:$B,$B271)&gt;0,"Sí","")</f>
        <v>Sí</v>
      </c>
      <c r="D271" s="3" t="str">
        <f>IF(COUNTIF(ia!$B:$B,$B271)&gt;0,"Sí","")</f>
        <v/>
      </c>
      <c r="E271" s="3" t="str">
        <f>IF(COUNTIF(graficas!$B:$B,$B271)&gt;0,"Sí","")</f>
        <v/>
      </c>
      <c r="F271" s="3">
        <f t="shared" si="8"/>
        <v>1</v>
      </c>
      <c r="G271" t="str">
        <f t="shared" si="9"/>
        <v>Ciencia</v>
      </c>
    </row>
    <row r="272" spans="1:7" x14ac:dyDescent="0.25">
      <c r="A272" t="s">
        <v>767</v>
      </c>
      <c r="B272" t="s">
        <v>768</v>
      </c>
      <c r="C272" s="3" t="str">
        <f>IF(COUNTIF(ciencia!$B:$B,$B272)&gt;0,"Sí","")</f>
        <v>Sí</v>
      </c>
      <c r="D272" s="3" t="str">
        <f>IF(COUNTIF(ia!$B:$B,$B272)&gt;0,"Sí","")</f>
        <v/>
      </c>
      <c r="E272" s="3" t="str">
        <f>IF(COUNTIF(graficas!$B:$B,$B272)&gt;0,"Sí","")</f>
        <v/>
      </c>
      <c r="F272" s="3">
        <f t="shared" si="8"/>
        <v>1</v>
      </c>
      <c r="G272" t="str">
        <f t="shared" si="9"/>
        <v>Ciencia</v>
      </c>
    </row>
    <row r="273" spans="1:7" x14ac:dyDescent="0.25">
      <c r="A273" t="s">
        <v>769</v>
      </c>
      <c r="B273" t="s">
        <v>770</v>
      </c>
      <c r="C273" s="3" t="str">
        <f>IF(COUNTIF(ciencia!$B:$B,$B273)&gt;0,"Sí","")</f>
        <v>Sí</v>
      </c>
      <c r="D273" s="3" t="str">
        <f>IF(COUNTIF(ia!$B:$B,$B273)&gt;0,"Sí","")</f>
        <v/>
      </c>
      <c r="E273" s="3" t="str">
        <f>IF(COUNTIF(graficas!$B:$B,$B273)&gt;0,"Sí","")</f>
        <v/>
      </c>
      <c r="F273" s="3">
        <f t="shared" si="8"/>
        <v>1</v>
      </c>
      <c r="G273" t="str">
        <f t="shared" si="9"/>
        <v>Ciencia</v>
      </c>
    </row>
    <row r="274" spans="1:7" x14ac:dyDescent="0.25">
      <c r="A274" t="s">
        <v>832</v>
      </c>
      <c r="B274" t="s">
        <v>772</v>
      </c>
      <c r="C274" s="3" t="str">
        <f>IF(COUNTIF(ciencia!$B:$B,$B274)&gt;0,"Sí","")</f>
        <v>Sí</v>
      </c>
      <c r="D274" s="3" t="str">
        <f>IF(COUNTIF(ia!$B:$B,$B274)&gt;0,"Sí","")</f>
        <v/>
      </c>
      <c r="E274" s="3" t="str">
        <f>IF(COUNTIF(graficas!$B:$B,$B274)&gt;0,"Sí","")</f>
        <v/>
      </c>
      <c r="F274" s="3">
        <f t="shared" si="8"/>
        <v>1</v>
      </c>
      <c r="G274" t="str">
        <f t="shared" si="9"/>
        <v>Ciencia</v>
      </c>
    </row>
    <row r="275" spans="1:7" x14ac:dyDescent="0.25">
      <c r="A275" t="s">
        <v>773</v>
      </c>
      <c r="B275" t="s">
        <v>774</v>
      </c>
      <c r="C275" s="3" t="str">
        <f>IF(COUNTIF(ciencia!$B:$B,$B275)&gt;0,"Sí","")</f>
        <v>Sí</v>
      </c>
      <c r="D275" s="3" t="str">
        <f>IF(COUNTIF(ia!$B:$B,$B275)&gt;0,"Sí","")</f>
        <v/>
      </c>
      <c r="E275" s="3" t="str">
        <f>IF(COUNTIF(graficas!$B:$B,$B275)&gt;0,"Sí","")</f>
        <v/>
      </c>
      <c r="F275" s="3">
        <f t="shared" si="8"/>
        <v>1</v>
      </c>
      <c r="G275" t="str">
        <f t="shared" si="9"/>
        <v>Ciencia</v>
      </c>
    </row>
    <row r="276" spans="1:7" x14ac:dyDescent="0.25">
      <c r="A276" t="s">
        <v>84</v>
      </c>
      <c r="B276" t="s">
        <v>85</v>
      </c>
      <c r="C276" s="3" t="str">
        <f>IF(COUNTIF(ciencia!$B:$B,$B276)&gt;0,"Sí","")</f>
        <v>Sí</v>
      </c>
      <c r="D276" s="3" t="str">
        <f>IF(COUNTIF(ia!$B:$B,$B276)&gt;0,"Sí","")</f>
        <v/>
      </c>
      <c r="E276" s="3" t="str">
        <f>IF(COUNTIF(graficas!$B:$B,$B276)&gt;0,"Sí","")</f>
        <v>Sí</v>
      </c>
      <c r="F276" s="3">
        <f t="shared" si="8"/>
        <v>2</v>
      </c>
      <c r="G276" t="str">
        <f t="shared" si="9"/>
        <v>Ciencia, Gráficas</v>
      </c>
    </row>
    <row r="277" spans="1:7" x14ac:dyDescent="0.25">
      <c r="A277" t="s">
        <v>775</v>
      </c>
      <c r="B277" t="s">
        <v>776</v>
      </c>
      <c r="C277" s="3" t="str">
        <f>IF(COUNTIF(ciencia!$B:$B,$B277)&gt;0,"Sí","")</f>
        <v>Sí</v>
      </c>
      <c r="D277" s="3" t="str">
        <f>IF(COUNTIF(ia!$B:$B,$B277)&gt;0,"Sí","")</f>
        <v/>
      </c>
      <c r="E277" s="3" t="str">
        <f>IF(COUNTIF(graficas!$B:$B,$B277)&gt;0,"Sí","")</f>
        <v/>
      </c>
      <c r="F277" s="3">
        <f t="shared" si="8"/>
        <v>1</v>
      </c>
      <c r="G277" t="str">
        <f t="shared" si="9"/>
        <v>Ciencia</v>
      </c>
    </row>
    <row r="278" spans="1:7" x14ac:dyDescent="0.25">
      <c r="A278" t="s">
        <v>777</v>
      </c>
      <c r="B278" t="s">
        <v>778</v>
      </c>
      <c r="C278" s="3" t="str">
        <f>IF(COUNTIF(ciencia!$B:$B,$B278)&gt;0,"Sí","")</f>
        <v>Sí</v>
      </c>
      <c r="D278" s="3" t="str">
        <f>IF(COUNTIF(ia!$B:$B,$B278)&gt;0,"Sí","")</f>
        <v/>
      </c>
      <c r="E278" s="3" t="str">
        <f>IF(COUNTIF(graficas!$B:$B,$B278)&gt;0,"Sí","")</f>
        <v/>
      </c>
      <c r="F278" s="3">
        <f t="shared" si="8"/>
        <v>1</v>
      </c>
      <c r="G278" t="str">
        <f t="shared" si="9"/>
        <v>Ciencia</v>
      </c>
    </row>
    <row r="279" spans="1:7" x14ac:dyDescent="0.25">
      <c r="A279" t="s">
        <v>779</v>
      </c>
      <c r="B279" t="s">
        <v>780</v>
      </c>
      <c r="C279" s="3" t="str">
        <f>IF(COUNTIF(ciencia!$B:$B,$B279)&gt;0,"Sí","")</f>
        <v>Sí</v>
      </c>
      <c r="D279" s="3" t="str">
        <f>IF(COUNTIF(ia!$B:$B,$B279)&gt;0,"Sí","")</f>
        <v/>
      </c>
      <c r="E279" s="3" t="str">
        <f>IF(COUNTIF(graficas!$B:$B,$B279)&gt;0,"Sí","")</f>
        <v/>
      </c>
      <c r="F279" s="3">
        <f t="shared" si="8"/>
        <v>1</v>
      </c>
      <c r="G279" t="str">
        <f t="shared" si="9"/>
        <v>Ciencia</v>
      </c>
    </row>
    <row r="280" spans="1:7" x14ac:dyDescent="0.25">
      <c r="A280" t="s">
        <v>833</v>
      </c>
      <c r="B280" t="s">
        <v>782</v>
      </c>
      <c r="C280" s="3" t="str">
        <f>IF(COUNTIF(ciencia!$B:$B,$B280)&gt;0,"Sí","")</f>
        <v>Sí</v>
      </c>
      <c r="D280" s="3" t="str">
        <f>IF(COUNTIF(ia!$B:$B,$B280)&gt;0,"Sí","")</f>
        <v/>
      </c>
      <c r="E280" s="3" t="str">
        <f>IF(COUNTIF(graficas!$B:$B,$B280)&gt;0,"Sí","")</f>
        <v/>
      </c>
      <c r="F280" s="3">
        <f t="shared" si="8"/>
        <v>1</v>
      </c>
      <c r="G280" t="str">
        <f t="shared" si="9"/>
        <v>Ciencia</v>
      </c>
    </row>
    <row r="281" spans="1:7" x14ac:dyDescent="0.25">
      <c r="A281" t="s">
        <v>38</v>
      </c>
      <c r="B281" t="s">
        <v>39</v>
      </c>
      <c r="C281" s="3" t="str">
        <f>IF(COUNTIF(ciencia!$B:$B,$B281)&gt;0,"Sí","")</f>
        <v>Sí</v>
      </c>
      <c r="D281" s="3" t="str">
        <f>IF(COUNTIF(ia!$B:$B,$B281)&gt;0,"Sí","")</f>
        <v/>
      </c>
      <c r="E281" s="3" t="str">
        <f>IF(COUNTIF(graficas!$B:$B,$B281)&gt;0,"Sí","")</f>
        <v>Sí</v>
      </c>
      <c r="F281" s="3">
        <f t="shared" si="8"/>
        <v>2</v>
      </c>
      <c r="G281" t="str">
        <f t="shared" si="9"/>
        <v>Ciencia, Gráficas</v>
      </c>
    </row>
    <row r="282" spans="1:7" x14ac:dyDescent="0.25">
      <c r="A282" t="s">
        <v>783</v>
      </c>
      <c r="B282" t="s">
        <v>784</v>
      </c>
      <c r="C282" s="3" t="str">
        <f>IF(COUNTIF(ciencia!$B:$B,$B282)&gt;0,"Sí","")</f>
        <v>Sí</v>
      </c>
      <c r="D282" s="3" t="str">
        <f>IF(COUNTIF(ia!$B:$B,$B282)&gt;0,"Sí","")</f>
        <v/>
      </c>
      <c r="E282" s="3" t="str">
        <f>IF(COUNTIF(graficas!$B:$B,$B282)&gt;0,"Sí","")</f>
        <v/>
      </c>
      <c r="F282" s="3">
        <f t="shared" si="8"/>
        <v>1</v>
      </c>
      <c r="G282" t="str">
        <f t="shared" si="9"/>
        <v>Ciencia</v>
      </c>
    </row>
    <row r="283" spans="1:7" x14ac:dyDescent="0.25">
      <c r="A283" t="s">
        <v>785</v>
      </c>
      <c r="B283" t="s">
        <v>786</v>
      </c>
      <c r="C283" s="3" t="str">
        <f>IF(COUNTIF(ciencia!$B:$B,$B283)&gt;0,"Sí","")</f>
        <v>Sí</v>
      </c>
      <c r="D283" s="3" t="str">
        <f>IF(COUNTIF(ia!$B:$B,$B283)&gt;0,"Sí","")</f>
        <v/>
      </c>
      <c r="E283" s="3" t="str">
        <f>IF(COUNTIF(graficas!$B:$B,$B283)&gt;0,"Sí","")</f>
        <v/>
      </c>
      <c r="F283" s="3">
        <f t="shared" si="8"/>
        <v>1</v>
      </c>
      <c r="G283" t="str">
        <f t="shared" si="9"/>
        <v>Ciencia</v>
      </c>
    </row>
    <row r="284" spans="1:7" x14ac:dyDescent="0.25">
      <c r="A284" t="s">
        <v>787</v>
      </c>
      <c r="B284" t="s">
        <v>788</v>
      </c>
      <c r="C284" s="3" t="str">
        <f>IF(COUNTIF(ciencia!$B:$B,$B284)&gt;0,"Sí","")</f>
        <v>Sí</v>
      </c>
      <c r="D284" s="3" t="str">
        <f>IF(COUNTIF(ia!$B:$B,$B284)&gt;0,"Sí","")</f>
        <v/>
      </c>
      <c r="E284" s="3" t="str">
        <f>IF(COUNTIF(graficas!$B:$B,$B284)&gt;0,"Sí","")</f>
        <v/>
      </c>
      <c r="F284" s="3">
        <f t="shared" si="8"/>
        <v>1</v>
      </c>
      <c r="G284" t="str">
        <f t="shared" si="9"/>
        <v>Ciencia</v>
      </c>
    </row>
    <row r="285" spans="1:7" x14ac:dyDescent="0.25">
      <c r="A285" t="s">
        <v>609</v>
      </c>
      <c r="B285" t="s">
        <v>789</v>
      </c>
      <c r="C285" s="3" t="str">
        <f>IF(COUNTIF(ciencia!$B:$B,$B285)&gt;0,"Sí","")</f>
        <v>Sí</v>
      </c>
      <c r="D285" s="3" t="str">
        <f>IF(COUNTIF(ia!$B:$B,$B285)&gt;0,"Sí","")</f>
        <v/>
      </c>
      <c r="E285" s="3" t="str">
        <f>IF(COUNTIF(graficas!$B:$B,$B285)&gt;0,"Sí","")</f>
        <v/>
      </c>
      <c r="F285" s="3">
        <f t="shared" si="8"/>
        <v>1</v>
      </c>
      <c r="G285" t="str">
        <f t="shared" si="9"/>
        <v>Ciencia</v>
      </c>
    </row>
    <row r="286" spans="1:7" x14ac:dyDescent="0.25">
      <c r="A286" t="s">
        <v>74</v>
      </c>
      <c r="B286" t="s">
        <v>75</v>
      </c>
      <c r="C286" s="3" t="str">
        <f>IF(COUNTIF(ciencia!$B:$B,$B286)&gt;0,"Sí","")</f>
        <v>Sí</v>
      </c>
      <c r="D286" s="3" t="str">
        <f>IF(COUNTIF(ia!$B:$B,$B286)&gt;0,"Sí","")</f>
        <v/>
      </c>
      <c r="E286" s="3" t="str">
        <f>IF(COUNTIF(graficas!$B:$B,$B286)&gt;0,"Sí","")</f>
        <v>Sí</v>
      </c>
      <c r="F286" s="3">
        <f t="shared" si="8"/>
        <v>2</v>
      </c>
      <c r="G286" t="str">
        <f t="shared" si="9"/>
        <v>Ciencia, Gráficas</v>
      </c>
    </row>
    <row r="287" spans="1:7" x14ac:dyDescent="0.25">
      <c r="A287" t="s">
        <v>790</v>
      </c>
      <c r="B287" t="s">
        <v>791</v>
      </c>
      <c r="C287" s="3" t="str">
        <f>IF(COUNTIF(ciencia!$B:$B,$B287)&gt;0,"Sí","")</f>
        <v>Sí</v>
      </c>
      <c r="D287" s="3" t="str">
        <f>IF(COUNTIF(ia!$B:$B,$B287)&gt;0,"Sí","")</f>
        <v/>
      </c>
      <c r="E287" s="3" t="str">
        <f>IF(COUNTIF(graficas!$B:$B,$B287)&gt;0,"Sí","")</f>
        <v/>
      </c>
      <c r="F287" s="3">
        <f t="shared" si="8"/>
        <v>1</v>
      </c>
      <c r="G287" t="str">
        <f t="shared" si="9"/>
        <v>Ciencia</v>
      </c>
    </row>
    <row r="288" spans="1:7" x14ac:dyDescent="0.25">
      <c r="A288" t="s">
        <v>52</v>
      </c>
      <c r="B288" t="s">
        <v>53</v>
      </c>
      <c r="C288" s="3" t="str">
        <f>IF(COUNTIF(ciencia!$B:$B,$B288)&gt;0,"Sí","")</f>
        <v>Sí</v>
      </c>
      <c r="D288" s="3" t="str">
        <f>IF(COUNTIF(ia!$B:$B,$B288)&gt;0,"Sí","")</f>
        <v/>
      </c>
      <c r="E288" s="3" t="str">
        <f>IF(COUNTIF(graficas!$B:$B,$B288)&gt;0,"Sí","")</f>
        <v>Sí</v>
      </c>
      <c r="F288" s="3">
        <f t="shared" si="8"/>
        <v>2</v>
      </c>
      <c r="G288" t="str">
        <f t="shared" si="9"/>
        <v>Ciencia, Gráficas</v>
      </c>
    </row>
    <row r="289" spans="1:7" x14ac:dyDescent="0.25">
      <c r="A289" t="s">
        <v>792</v>
      </c>
      <c r="B289" t="s">
        <v>793</v>
      </c>
      <c r="C289" s="3" t="str">
        <f>IF(COUNTIF(ciencia!$B:$B,$B289)&gt;0,"Sí","")</f>
        <v>Sí</v>
      </c>
      <c r="D289" s="3" t="str">
        <f>IF(COUNTIF(ia!$B:$B,$B289)&gt;0,"Sí","")</f>
        <v/>
      </c>
      <c r="E289" s="3" t="str">
        <f>IF(COUNTIF(graficas!$B:$B,$B289)&gt;0,"Sí","")</f>
        <v/>
      </c>
      <c r="F289" s="3">
        <f t="shared" si="8"/>
        <v>1</v>
      </c>
      <c r="G289" t="str">
        <f t="shared" si="9"/>
        <v>Ciencia</v>
      </c>
    </row>
    <row r="290" spans="1:7" x14ac:dyDescent="0.25">
      <c r="A290" t="s">
        <v>66</v>
      </c>
      <c r="B290" t="s">
        <v>67</v>
      </c>
      <c r="C290" s="3" t="str">
        <f>IF(COUNTIF(ciencia!$B:$B,$B290)&gt;0,"Sí","")</f>
        <v>Sí</v>
      </c>
      <c r="D290" s="3" t="str">
        <f>IF(COUNTIF(ia!$B:$B,$B290)&gt;0,"Sí","")</f>
        <v>Sí</v>
      </c>
      <c r="E290" s="3" t="str">
        <f>IF(COUNTIF(graficas!$B:$B,$B290)&gt;0,"Sí","")</f>
        <v>Sí</v>
      </c>
      <c r="F290" s="3">
        <f t="shared" si="8"/>
        <v>3</v>
      </c>
      <c r="G290" t="str">
        <f t="shared" si="9"/>
        <v>Ciencia, IA, Gráficas</v>
      </c>
    </row>
    <row r="291" spans="1:7" x14ac:dyDescent="0.25">
      <c r="A291" t="s">
        <v>794</v>
      </c>
      <c r="B291" t="s">
        <v>795</v>
      </c>
      <c r="C291" s="3" t="str">
        <f>IF(COUNTIF(ciencia!$B:$B,$B291)&gt;0,"Sí","")</f>
        <v>Sí</v>
      </c>
      <c r="D291" s="3" t="str">
        <f>IF(COUNTIF(ia!$B:$B,$B291)&gt;0,"Sí","")</f>
        <v/>
      </c>
      <c r="E291" s="3" t="str">
        <f>IF(COUNTIF(graficas!$B:$B,$B291)&gt;0,"Sí","")</f>
        <v/>
      </c>
      <c r="F291" s="3">
        <f t="shared" si="8"/>
        <v>1</v>
      </c>
      <c r="G291" t="str">
        <f t="shared" si="9"/>
        <v>Ciencia</v>
      </c>
    </row>
    <row r="292" spans="1:7" x14ac:dyDescent="0.25">
      <c r="A292" t="s">
        <v>796</v>
      </c>
      <c r="B292" t="s">
        <v>797</v>
      </c>
      <c r="C292" s="3" t="str">
        <f>IF(COUNTIF(ciencia!$B:$B,$B292)&gt;0,"Sí","")</f>
        <v>Sí</v>
      </c>
      <c r="D292" s="3" t="str">
        <f>IF(COUNTIF(ia!$B:$B,$B292)&gt;0,"Sí","")</f>
        <v/>
      </c>
      <c r="E292" s="3" t="str">
        <f>IF(COUNTIF(graficas!$B:$B,$B292)&gt;0,"Sí","")</f>
        <v/>
      </c>
      <c r="F292" s="3">
        <f t="shared" si="8"/>
        <v>1</v>
      </c>
      <c r="G292" t="str">
        <f t="shared" si="9"/>
        <v>Ciencia</v>
      </c>
    </row>
    <row r="293" spans="1:7" x14ac:dyDescent="0.25">
      <c r="A293" t="s">
        <v>798</v>
      </c>
      <c r="B293" t="s">
        <v>799</v>
      </c>
      <c r="C293" s="3" t="str">
        <f>IF(COUNTIF(ciencia!$B:$B,$B293)&gt;0,"Sí","")</f>
        <v>Sí</v>
      </c>
      <c r="D293" s="3" t="str">
        <f>IF(COUNTIF(ia!$B:$B,$B293)&gt;0,"Sí","")</f>
        <v/>
      </c>
      <c r="E293" s="3" t="str">
        <f>IF(COUNTIF(graficas!$B:$B,$B293)&gt;0,"Sí","")</f>
        <v/>
      </c>
      <c r="F293" s="3">
        <f t="shared" si="8"/>
        <v>1</v>
      </c>
      <c r="G293" t="str">
        <f t="shared" si="9"/>
        <v>Ciencia</v>
      </c>
    </row>
    <row r="294" spans="1:7" x14ac:dyDescent="0.25">
      <c r="A294" t="s">
        <v>800</v>
      </c>
      <c r="B294" t="s">
        <v>801</v>
      </c>
      <c r="C294" s="3" t="str">
        <f>IF(COUNTIF(ciencia!$B:$B,$B294)&gt;0,"Sí","")</f>
        <v>Sí</v>
      </c>
      <c r="D294" s="3" t="str">
        <f>IF(COUNTIF(ia!$B:$B,$B294)&gt;0,"Sí","")</f>
        <v/>
      </c>
      <c r="E294" s="3" t="str">
        <f>IF(COUNTIF(graficas!$B:$B,$B294)&gt;0,"Sí","")</f>
        <v/>
      </c>
      <c r="F294" s="3">
        <f t="shared" si="8"/>
        <v>1</v>
      </c>
      <c r="G294" t="str">
        <f t="shared" si="9"/>
        <v>Ciencia</v>
      </c>
    </row>
    <row r="295" spans="1:7" x14ac:dyDescent="0.25">
      <c r="A295" t="s">
        <v>802</v>
      </c>
      <c r="B295" t="s">
        <v>803</v>
      </c>
      <c r="C295" s="3" t="str">
        <f>IF(COUNTIF(ciencia!$B:$B,$B295)&gt;0,"Sí","")</f>
        <v>Sí</v>
      </c>
      <c r="D295" s="3" t="str">
        <f>IF(COUNTIF(ia!$B:$B,$B295)&gt;0,"Sí","")</f>
        <v/>
      </c>
      <c r="E295" s="3" t="str">
        <f>IF(COUNTIF(graficas!$B:$B,$B295)&gt;0,"Sí","")</f>
        <v/>
      </c>
      <c r="F295" s="3">
        <f t="shared" si="8"/>
        <v>1</v>
      </c>
      <c r="G295" t="str">
        <f t="shared" si="9"/>
        <v>Ciencia</v>
      </c>
    </row>
    <row r="296" spans="1:7" x14ac:dyDescent="0.25">
      <c r="A296" t="s">
        <v>804</v>
      </c>
      <c r="B296" t="s">
        <v>805</v>
      </c>
      <c r="C296" s="3" t="str">
        <f>IF(COUNTIF(ciencia!$B:$B,$B296)&gt;0,"Sí","")</f>
        <v>Sí</v>
      </c>
      <c r="D296" s="3" t="str">
        <f>IF(COUNTIF(ia!$B:$B,$B296)&gt;0,"Sí","")</f>
        <v/>
      </c>
      <c r="E296" s="3" t="str">
        <f>IF(COUNTIF(graficas!$B:$B,$B296)&gt;0,"Sí","")</f>
        <v/>
      </c>
      <c r="F296" s="3">
        <f t="shared" si="8"/>
        <v>1</v>
      </c>
      <c r="G296" t="str">
        <f t="shared" si="9"/>
        <v>Ciencia</v>
      </c>
    </row>
    <row r="297" spans="1:7" x14ac:dyDescent="0.25">
      <c r="A297" t="s">
        <v>202</v>
      </c>
      <c r="B297" t="s">
        <v>203</v>
      </c>
      <c r="C297" s="3" t="str">
        <f>IF(COUNTIF(ciencia!$B:$B,$B297)&gt;0,"Sí","")</f>
        <v>Sí</v>
      </c>
      <c r="D297" s="3" t="str">
        <f>IF(COUNTIF(ia!$B:$B,$B297)&gt;0,"Sí","")</f>
        <v>Sí</v>
      </c>
      <c r="E297" s="3" t="str">
        <f>IF(COUNTIF(graficas!$B:$B,$B297)&gt;0,"Sí","")</f>
        <v/>
      </c>
      <c r="F297" s="3">
        <f t="shared" si="8"/>
        <v>2</v>
      </c>
      <c r="G297" t="str">
        <f t="shared" si="9"/>
        <v>Ciencia, IA</v>
      </c>
    </row>
    <row r="298" spans="1:7" x14ac:dyDescent="0.25">
      <c r="A298" t="s">
        <v>302</v>
      </c>
      <c r="B298" t="s">
        <v>303</v>
      </c>
      <c r="C298" s="3" t="str">
        <f>IF(COUNTIF(ciencia!$B:$B,$B298)&gt;0,"Sí","")</f>
        <v>Sí</v>
      </c>
      <c r="D298" s="3" t="str">
        <f>IF(COUNTIF(ia!$B:$B,$B298)&gt;0,"Sí","")</f>
        <v>Sí</v>
      </c>
      <c r="E298" s="3" t="str">
        <f>IF(COUNTIF(graficas!$B:$B,$B298)&gt;0,"Sí","")</f>
        <v/>
      </c>
      <c r="F298" s="3">
        <f t="shared" si="8"/>
        <v>2</v>
      </c>
      <c r="G298" t="str">
        <f t="shared" si="9"/>
        <v>Ciencia, IA</v>
      </c>
    </row>
    <row r="299" spans="1:7" x14ac:dyDescent="0.25">
      <c r="A299" t="s">
        <v>806</v>
      </c>
      <c r="B299" t="s">
        <v>807</v>
      </c>
      <c r="C299" s="3" t="str">
        <f>IF(COUNTIF(ciencia!$B:$B,$B299)&gt;0,"Sí","")</f>
        <v>Sí</v>
      </c>
      <c r="D299" s="3" t="str">
        <f>IF(COUNTIF(ia!$B:$B,$B299)&gt;0,"Sí","")</f>
        <v/>
      </c>
      <c r="E299" s="3" t="str">
        <f>IF(COUNTIF(graficas!$B:$B,$B299)&gt;0,"Sí","")</f>
        <v/>
      </c>
      <c r="F299" s="3">
        <f t="shared" si="8"/>
        <v>1</v>
      </c>
      <c r="G299" t="str">
        <f t="shared" si="9"/>
        <v>Ciencia</v>
      </c>
    </row>
    <row r="300" spans="1:7" x14ac:dyDescent="0.25">
      <c r="A300" t="s">
        <v>808</v>
      </c>
      <c r="B300" t="s">
        <v>809</v>
      </c>
      <c r="C300" s="3" t="str">
        <f>IF(COUNTIF(ciencia!$B:$B,$B300)&gt;0,"Sí","")</f>
        <v>Sí</v>
      </c>
      <c r="D300" s="3" t="str">
        <f>IF(COUNTIF(ia!$B:$B,$B300)&gt;0,"Sí","")</f>
        <v/>
      </c>
      <c r="E300" s="3" t="str">
        <f>IF(COUNTIF(graficas!$B:$B,$B300)&gt;0,"Sí","")</f>
        <v/>
      </c>
      <c r="F300" s="3">
        <f t="shared" si="8"/>
        <v>1</v>
      </c>
      <c r="G300" t="str">
        <f t="shared" si="9"/>
        <v>Ciencia</v>
      </c>
    </row>
    <row r="301" spans="1:7" x14ac:dyDescent="0.25">
      <c r="A301" t="s">
        <v>322</v>
      </c>
      <c r="B301" t="s">
        <v>323</v>
      </c>
      <c r="C301" s="3" t="str">
        <f>IF(COUNTIF(ciencia!$B:$B,$B301)&gt;0,"Sí","")</f>
        <v>Sí</v>
      </c>
      <c r="D301" s="3" t="str">
        <f>IF(COUNTIF(ia!$B:$B,$B301)&gt;0,"Sí","")</f>
        <v>Sí</v>
      </c>
      <c r="E301" s="3" t="str">
        <f>IF(COUNTIF(graficas!$B:$B,$B301)&gt;0,"Sí","")</f>
        <v/>
      </c>
      <c r="F301" s="3">
        <f t="shared" si="8"/>
        <v>2</v>
      </c>
      <c r="G301" t="str">
        <f t="shared" si="9"/>
        <v>Ciencia, IA</v>
      </c>
    </row>
    <row r="302" spans="1:7" x14ac:dyDescent="0.25">
      <c r="A302" t="s">
        <v>330</v>
      </c>
      <c r="B302" t="s">
        <v>331</v>
      </c>
      <c r="C302" s="3" t="str">
        <f>IF(COUNTIF(ciencia!$B:$B,$B302)&gt;0,"Sí","")</f>
        <v>Sí</v>
      </c>
      <c r="D302" s="3" t="str">
        <f>IF(COUNTIF(ia!$B:$B,$B302)&gt;0,"Sí","")</f>
        <v>Sí</v>
      </c>
      <c r="E302" s="3" t="str">
        <f>IF(COUNTIF(graficas!$B:$B,$B302)&gt;0,"Sí","")</f>
        <v/>
      </c>
      <c r="F302" s="3">
        <f t="shared" si="8"/>
        <v>2</v>
      </c>
      <c r="G302" t="str">
        <f t="shared" si="9"/>
        <v>Ciencia, IA</v>
      </c>
    </row>
    <row r="303" spans="1:7" x14ac:dyDescent="0.25">
      <c r="A303" t="s">
        <v>810</v>
      </c>
      <c r="B303" t="s">
        <v>811</v>
      </c>
      <c r="C303" s="3" t="str">
        <f>IF(COUNTIF(ciencia!$B:$B,$B303)&gt;0,"Sí","")</f>
        <v>Sí</v>
      </c>
      <c r="D303" s="3" t="str">
        <f>IF(COUNTIF(ia!$B:$B,$B303)&gt;0,"Sí","")</f>
        <v/>
      </c>
      <c r="E303" s="3" t="str">
        <f>IF(COUNTIF(graficas!$B:$B,$B303)&gt;0,"Sí","")</f>
        <v/>
      </c>
      <c r="F303" s="3">
        <f t="shared" si="8"/>
        <v>1</v>
      </c>
      <c r="G303" t="str">
        <f t="shared" si="9"/>
        <v>Ciencia</v>
      </c>
    </row>
    <row r="304" spans="1:7" x14ac:dyDescent="0.25">
      <c r="A304" t="s">
        <v>812</v>
      </c>
      <c r="B304" t="s">
        <v>813</v>
      </c>
      <c r="C304" s="3" t="str">
        <f>IF(COUNTIF(ciencia!$B:$B,$B304)&gt;0,"Sí","")</f>
        <v>Sí</v>
      </c>
      <c r="D304" s="3" t="str">
        <f>IF(COUNTIF(ia!$B:$B,$B304)&gt;0,"Sí","")</f>
        <v/>
      </c>
      <c r="E304" s="3" t="str">
        <f>IF(COUNTIF(graficas!$B:$B,$B304)&gt;0,"Sí","")</f>
        <v/>
      </c>
      <c r="F304" s="3">
        <f t="shared" si="8"/>
        <v>1</v>
      </c>
      <c r="G304" t="str">
        <f t="shared" si="9"/>
        <v>Ciencia</v>
      </c>
    </row>
    <row r="305" spans="1:7" x14ac:dyDescent="0.25">
      <c r="A305" t="s">
        <v>146</v>
      </c>
      <c r="B305" t="s">
        <v>147</v>
      </c>
      <c r="C305" s="3" t="str">
        <f>IF(COUNTIF(ciencia!$B:$B,$B305)&gt;0,"Sí","")</f>
        <v/>
      </c>
      <c r="D305" s="3" t="str">
        <f>IF(COUNTIF(ia!$B:$B,$B305)&gt;0,"Sí","")</f>
        <v>Sí</v>
      </c>
      <c r="E305" s="3" t="str">
        <f>IF(COUNTIF(graficas!$B:$B,$B305)&gt;0,"Sí","")</f>
        <v/>
      </c>
      <c r="F305" s="3">
        <f t="shared" si="8"/>
        <v>1</v>
      </c>
      <c r="G305" t="str">
        <f t="shared" si="9"/>
        <v>IA</v>
      </c>
    </row>
    <row r="306" spans="1:7" x14ac:dyDescent="0.25">
      <c r="A306" t="s">
        <v>148</v>
      </c>
      <c r="B306" t="s">
        <v>149</v>
      </c>
      <c r="C306" s="3" t="str">
        <f>IF(COUNTIF(ciencia!$B:$B,$B306)&gt;0,"Sí","")</f>
        <v/>
      </c>
      <c r="D306" s="3" t="str">
        <f>IF(COUNTIF(ia!$B:$B,$B306)&gt;0,"Sí","")</f>
        <v>Sí</v>
      </c>
      <c r="E306" s="3" t="str">
        <f>IF(COUNTIF(graficas!$B:$B,$B306)&gt;0,"Sí","")</f>
        <v/>
      </c>
      <c r="F306" s="3">
        <f t="shared" si="8"/>
        <v>1</v>
      </c>
      <c r="G306" t="str">
        <f t="shared" si="9"/>
        <v>IA</v>
      </c>
    </row>
    <row r="307" spans="1:7" x14ac:dyDescent="0.25">
      <c r="A307" t="s">
        <v>150</v>
      </c>
      <c r="B307" t="s">
        <v>151</v>
      </c>
      <c r="C307" s="3" t="str">
        <f>IF(COUNTIF(ciencia!$B:$B,$B307)&gt;0,"Sí","")</f>
        <v/>
      </c>
      <c r="D307" s="3" t="str">
        <f>IF(COUNTIF(ia!$B:$B,$B307)&gt;0,"Sí","")</f>
        <v>Sí</v>
      </c>
      <c r="E307" s="3" t="str">
        <f>IF(COUNTIF(graficas!$B:$B,$B307)&gt;0,"Sí","")</f>
        <v/>
      </c>
      <c r="F307" s="3">
        <f t="shared" si="8"/>
        <v>1</v>
      </c>
      <c r="G307" t="str">
        <f t="shared" si="9"/>
        <v>IA</v>
      </c>
    </row>
    <row r="308" spans="1:7" x14ac:dyDescent="0.25">
      <c r="A308" t="s">
        <v>152</v>
      </c>
      <c r="B308" t="s">
        <v>153</v>
      </c>
      <c r="C308" s="3" t="str">
        <f>IF(COUNTIF(ciencia!$B:$B,$B308)&gt;0,"Sí","")</f>
        <v/>
      </c>
      <c r="D308" s="3" t="str">
        <f>IF(COUNTIF(ia!$B:$B,$B308)&gt;0,"Sí","")</f>
        <v>Sí</v>
      </c>
      <c r="E308" s="3" t="str">
        <f>IF(COUNTIF(graficas!$B:$B,$B308)&gt;0,"Sí","")</f>
        <v/>
      </c>
      <c r="F308" s="3">
        <f t="shared" si="8"/>
        <v>1</v>
      </c>
      <c r="G308" t="str">
        <f t="shared" si="9"/>
        <v>IA</v>
      </c>
    </row>
    <row r="309" spans="1:7" x14ac:dyDescent="0.25">
      <c r="A309" t="s">
        <v>154</v>
      </c>
      <c r="B309" t="s">
        <v>155</v>
      </c>
      <c r="C309" s="3" t="str">
        <f>IF(COUNTIF(ciencia!$B:$B,$B309)&gt;0,"Sí","")</f>
        <v/>
      </c>
      <c r="D309" s="3" t="str">
        <f>IF(COUNTIF(ia!$B:$B,$B309)&gt;0,"Sí","")</f>
        <v>Sí</v>
      </c>
      <c r="E309" s="3" t="str">
        <f>IF(COUNTIF(graficas!$B:$B,$B309)&gt;0,"Sí","")</f>
        <v/>
      </c>
      <c r="F309" s="3">
        <f t="shared" si="8"/>
        <v>1</v>
      </c>
      <c r="G309" t="str">
        <f t="shared" si="9"/>
        <v>IA</v>
      </c>
    </row>
    <row r="310" spans="1:7" x14ac:dyDescent="0.25">
      <c r="A310" t="s">
        <v>156</v>
      </c>
      <c r="B310" t="s">
        <v>157</v>
      </c>
      <c r="C310" s="3" t="str">
        <f>IF(COUNTIF(ciencia!$B:$B,$B310)&gt;0,"Sí","")</f>
        <v/>
      </c>
      <c r="D310" s="3" t="str">
        <f>IF(COUNTIF(ia!$B:$B,$B310)&gt;0,"Sí","")</f>
        <v>Sí</v>
      </c>
      <c r="E310" s="3" t="str">
        <f>IF(COUNTIF(graficas!$B:$B,$B310)&gt;0,"Sí","")</f>
        <v/>
      </c>
      <c r="F310" s="3">
        <f t="shared" si="8"/>
        <v>1</v>
      </c>
      <c r="G310" t="str">
        <f t="shared" si="9"/>
        <v>IA</v>
      </c>
    </row>
    <row r="311" spans="1:7" x14ac:dyDescent="0.25">
      <c r="A311" t="s">
        <v>158</v>
      </c>
      <c r="B311" t="s">
        <v>159</v>
      </c>
      <c r="C311" s="3" t="str">
        <f>IF(COUNTIF(ciencia!$B:$B,$B311)&gt;0,"Sí","")</f>
        <v/>
      </c>
      <c r="D311" s="3" t="str">
        <f>IF(COUNTIF(ia!$B:$B,$B311)&gt;0,"Sí","")</f>
        <v>Sí</v>
      </c>
      <c r="E311" s="3" t="str">
        <f>IF(COUNTIF(graficas!$B:$B,$B311)&gt;0,"Sí","")</f>
        <v/>
      </c>
      <c r="F311" s="3">
        <f t="shared" si="8"/>
        <v>1</v>
      </c>
      <c r="G311" t="str">
        <f t="shared" si="9"/>
        <v>IA</v>
      </c>
    </row>
    <row r="312" spans="1:7" x14ac:dyDescent="0.25">
      <c r="A312" t="s">
        <v>160</v>
      </c>
      <c r="B312" t="s">
        <v>161</v>
      </c>
      <c r="C312" s="3" t="str">
        <f>IF(COUNTIF(ciencia!$B:$B,$B312)&gt;0,"Sí","")</f>
        <v/>
      </c>
      <c r="D312" s="3" t="str">
        <f>IF(COUNTIF(ia!$B:$B,$B312)&gt;0,"Sí","")</f>
        <v>Sí</v>
      </c>
      <c r="E312" s="3" t="str">
        <f>IF(COUNTIF(graficas!$B:$B,$B312)&gt;0,"Sí","")</f>
        <v/>
      </c>
      <c r="F312" s="3">
        <f t="shared" si="8"/>
        <v>1</v>
      </c>
      <c r="G312" t="str">
        <f t="shared" si="9"/>
        <v>IA</v>
      </c>
    </row>
    <row r="313" spans="1:7" x14ac:dyDescent="0.25">
      <c r="A313" t="s">
        <v>162</v>
      </c>
      <c r="B313" t="s">
        <v>163</v>
      </c>
      <c r="C313" s="3" t="str">
        <f>IF(COUNTIF(ciencia!$B:$B,$B313)&gt;0,"Sí","")</f>
        <v/>
      </c>
      <c r="D313" s="3" t="str">
        <f>IF(COUNTIF(ia!$B:$B,$B313)&gt;0,"Sí","")</f>
        <v>Sí</v>
      </c>
      <c r="E313" s="3" t="str">
        <f>IF(COUNTIF(graficas!$B:$B,$B313)&gt;0,"Sí","")</f>
        <v/>
      </c>
      <c r="F313" s="3">
        <f t="shared" si="8"/>
        <v>1</v>
      </c>
      <c r="G313" t="str">
        <f t="shared" si="9"/>
        <v>IA</v>
      </c>
    </row>
    <row r="314" spans="1:7" x14ac:dyDescent="0.25">
      <c r="A314" t="s">
        <v>164</v>
      </c>
      <c r="B314" t="s">
        <v>165</v>
      </c>
      <c r="C314" s="3" t="str">
        <f>IF(COUNTIF(ciencia!$B:$B,$B314)&gt;0,"Sí","")</f>
        <v/>
      </c>
      <c r="D314" s="3" t="str">
        <f>IF(COUNTIF(ia!$B:$B,$B314)&gt;0,"Sí","")</f>
        <v>Sí</v>
      </c>
      <c r="E314" s="3" t="str">
        <f>IF(COUNTIF(graficas!$B:$B,$B314)&gt;0,"Sí","")</f>
        <v/>
      </c>
      <c r="F314" s="3">
        <f t="shared" si="8"/>
        <v>1</v>
      </c>
      <c r="G314" t="str">
        <f t="shared" si="9"/>
        <v>IA</v>
      </c>
    </row>
    <row r="315" spans="1:7" x14ac:dyDescent="0.25">
      <c r="A315" t="s">
        <v>166</v>
      </c>
      <c r="B315" t="s">
        <v>167</v>
      </c>
      <c r="C315" s="3" t="str">
        <f>IF(COUNTIF(ciencia!$B:$B,$B315)&gt;0,"Sí","")</f>
        <v/>
      </c>
      <c r="D315" s="3" t="str">
        <f>IF(COUNTIF(ia!$B:$B,$B315)&gt;0,"Sí","")</f>
        <v>Sí</v>
      </c>
      <c r="E315" s="3" t="str">
        <f>IF(COUNTIF(graficas!$B:$B,$B315)&gt;0,"Sí","")</f>
        <v/>
      </c>
      <c r="F315" s="3">
        <f t="shared" si="8"/>
        <v>1</v>
      </c>
      <c r="G315" t="str">
        <f t="shared" si="9"/>
        <v>IA</v>
      </c>
    </row>
    <row r="316" spans="1:7" x14ac:dyDescent="0.25">
      <c r="A316" t="s">
        <v>170</v>
      </c>
      <c r="B316" t="s">
        <v>171</v>
      </c>
      <c r="C316" s="3" t="str">
        <f>IF(COUNTIF(ciencia!$B:$B,$B316)&gt;0,"Sí","")</f>
        <v/>
      </c>
      <c r="D316" s="3" t="str">
        <f>IF(COUNTIF(ia!$B:$B,$B316)&gt;0,"Sí","")</f>
        <v>Sí</v>
      </c>
      <c r="E316" s="3" t="str">
        <f>IF(COUNTIF(graficas!$B:$B,$B316)&gt;0,"Sí","")</f>
        <v/>
      </c>
      <c r="F316" s="3">
        <f t="shared" si="8"/>
        <v>1</v>
      </c>
      <c r="G316" t="str">
        <f t="shared" si="9"/>
        <v>IA</v>
      </c>
    </row>
    <row r="317" spans="1:7" x14ac:dyDescent="0.25">
      <c r="A317" t="s">
        <v>172</v>
      </c>
      <c r="B317" t="s">
        <v>173</v>
      </c>
      <c r="C317" s="3" t="str">
        <f>IF(COUNTIF(ciencia!$B:$B,$B317)&gt;0,"Sí","")</f>
        <v/>
      </c>
      <c r="D317" s="3" t="str">
        <f>IF(COUNTIF(ia!$B:$B,$B317)&gt;0,"Sí","")</f>
        <v>Sí</v>
      </c>
      <c r="E317" s="3" t="str">
        <f>IF(COUNTIF(graficas!$B:$B,$B317)&gt;0,"Sí","")</f>
        <v/>
      </c>
      <c r="F317" s="3">
        <f t="shared" si="8"/>
        <v>1</v>
      </c>
      <c r="G317" t="str">
        <f t="shared" si="9"/>
        <v>IA</v>
      </c>
    </row>
    <row r="318" spans="1:7" x14ac:dyDescent="0.25">
      <c r="A318" t="s">
        <v>174</v>
      </c>
      <c r="B318" t="s">
        <v>175</v>
      </c>
      <c r="C318" s="3" t="str">
        <f>IF(COUNTIF(ciencia!$B:$B,$B318)&gt;0,"Sí","")</f>
        <v/>
      </c>
      <c r="D318" s="3" t="str">
        <f>IF(COUNTIF(ia!$B:$B,$B318)&gt;0,"Sí","")</f>
        <v>Sí</v>
      </c>
      <c r="E318" s="3" t="str">
        <f>IF(COUNTIF(graficas!$B:$B,$B318)&gt;0,"Sí","")</f>
        <v/>
      </c>
      <c r="F318" s="3">
        <f t="shared" si="8"/>
        <v>1</v>
      </c>
      <c r="G318" t="str">
        <f t="shared" si="9"/>
        <v>IA</v>
      </c>
    </row>
    <row r="319" spans="1:7" x14ac:dyDescent="0.25">
      <c r="A319" t="s">
        <v>176</v>
      </c>
      <c r="B319" t="s">
        <v>177</v>
      </c>
      <c r="C319" s="3" t="str">
        <f>IF(COUNTIF(ciencia!$B:$B,$B319)&gt;0,"Sí","")</f>
        <v/>
      </c>
      <c r="D319" s="3" t="str">
        <f>IF(COUNTIF(ia!$B:$B,$B319)&gt;0,"Sí","")</f>
        <v>Sí</v>
      </c>
      <c r="E319" s="3" t="str">
        <f>IF(COUNTIF(graficas!$B:$B,$B319)&gt;0,"Sí","")</f>
        <v/>
      </c>
      <c r="F319" s="3">
        <f t="shared" si="8"/>
        <v>1</v>
      </c>
      <c r="G319" t="str">
        <f t="shared" si="9"/>
        <v>IA</v>
      </c>
    </row>
    <row r="320" spans="1:7" x14ac:dyDescent="0.25">
      <c r="A320" t="s">
        <v>178</v>
      </c>
      <c r="B320" t="s">
        <v>179</v>
      </c>
      <c r="C320" s="3" t="str">
        <f>IF(COUNTIF(ciencia!$B:$B,$B320)&gt;0,"Sí","")</f>
        <v/>
      </c>
      <c r="D320" s="3" t="str">
        <f>IF(COUNTIF(ia!$B:$B,$B320)&gt;0,"Sí","")</f>
        <v>Sí</v>
      </c>
      <c r="E320" s="3" t="str">
        <f>IF(COUNTIF(graficas!$B:$B,$B320)&gt;0,"Sí","")</f>
        <v/>
      </c>
      <c r="F320" s="3">
        <f t="shared" si="8"/>
        <v>1</v>
      </c>
      <c r="G320" t="str">
        <f t="shared" si="9"/>
        <v>IA</v>
      </c>
    </row>
    <row r="321" spans="1:7" x14ac:dyDescent="0.25">
      <c r="A321" t="s">
        <v>834</v>
      </c>
      <c r="B321" t="s">
        <v>181</v>
      </c>
      <c r="C321" s="3" t="str">
        <f>IF(COUNTIF(ciencia!$B:$B,$B321)&gt;0,"Sí","")</f>
        <v/>
      </c>
      <c r="D321" s="3" t="str">
        <f>IF(COUNTIF(ia!$B:$B,$B321)&gt;0,"Sí","")</f>
        <v>Sí</v>
      </c>
      <c r="E321" s="3" t="str">
        <f>IF(COUNTIF(graficas!$B:$B,$B321)&gt;0,"Sí","")</f>
        <v/>
      </c>
      <c r="F321" s="3">
        <f t="shared" si="8"/>
        <v>1</v>
      </c>
      <c r="G321" t="str">
        <f t="shared" si="9"/>
        <v>IA</v>
      </c>
    </row>
    <row r="322" spans="1:7" x14ac:dyDescent="0.25">
      <c r="A322" t="s">
        <v>184</v>
      </c>
      <c r="B322" t="s">
        <v>185</v>
      </c>
      <c r="C322" s="3" t="str">
        <f>IF(COUNTIF(ciencia!$B:$B,$B322)&gt;0,"Sí","")</f>
        <v/>
      </c>
      <c r="D322" s="3" t="str">
        <f>IF(COUNTIF(ia!$B:$B,$B322)&gt;0,"Sí","")</f>
        <v>Sí</v>
      </c>
      <c r="E322" s="3" t="str">
        <f>IF(COUNTIF(graficas!$B:$B,$B322)&gt;0,"Sí","")</f>
        <v/>
      </c>
      <c r="F322" s="3">
        <f t="shared" si="8"/>
        <v>1</v>
      </c>
      <c r="G322" t="str">
        <f t="shared" si="9"/>
        <v>IA</v>
      </c>
    </row>
    <row r="323" spans="1:7" x14ac:dyDescent="0.25">
      <c r="A323" t="s">
        <v>186</v>
      </c>
      <c r="B323" t="s">
        <v>187</v>
      </c>
      <c r="C323" s="3" t="str">
        <f>IF(COUNTIF(ciencia!$B:$B,$B323)&gt;0,"Sí","")</f>
        <v/>
      </c>
      <c r="D323" s="3" t="str">
        <f>IF(COUNTIF(ia!$B:$B,$B323)&gt;0,"Sí","")</f>
        <v>Sí</v>
      </c>
      <c r="E323" s="3" t="str">
        <f>IF(COUNTIF(graficas!$B:$B,$B323)&gt;0,"Sí","")</f>
        <v/>
      </c>
      <c r="F323" s="3">
        <f t="shared" ref="F323:F386" si="10">COUNTIF(C323:E323,"Sí")</f>
        <v>1</v>
      </c>
      <c r="G323" t="str">
        <f t="shared" ref="G323:G386" si="11">_xlfn.TEXTJOIN(", ",TRUE,IF(C323="Sí","Ciencia",""),IF(D323="Sí","IA",""),IF(E323="Sí","Gráficas",""))</f>
        <v>IA</v>
      </c>
    </row>
    <row r="324" spans="1:7" x14ac:dyDescent="0.25">
      <c r="A324" t="s">
        <v>188</v>
      </c>
      <c r="B324" t="s">
        <v>189</v>
      </c>
      <c r="C324" s="3" t="str">
        <f>IF(COUNTIF(ciencia!$B:$B,$B324)&gt;0,"Sí","")</f>
        <v/>
      </c>
      <c r="D324" s="3" t="str">
        <f>IF(COUNTIF(ia!$B:$B,$B324)&gt;0,"Sí","")</f>
        <v>Sí</v>
      </c>
      <c r="E324" s="3" t="str">
        <f>IF(COUNTIF(graficas!$B:$B,$B324)&gt;0,"Sí","")</f>
        <v/>
      </c>
      <c r="F324" s="3">
        <f t="shared" si="10"/>
        <v>1</v>
      </c>
      <c r="G324" t="str">
        <f t="shared" si="11"/>
        <v>IA</v>
      </c>
    </row>
    <row r="325" spans="1:7" x14ac:dyDescent="0.25">
      <c r="A325" t="s">
        <v>192</v>
      </c>
      <c r="B325" t="s">
        <v>193</v>
      </c>
      <c r="C325" s="3" t="str">
        <f>IF(COUNTIF(ciencia!$B:$B,$B325)&gt;0,"Sí","")</f>
        <v/>
      </c>
      <c r="D325" s="3" t="str">
        <f>IF(COUNTIF(ia!$B:$B,$B325)&gt;0,"Sí","")</f>
        <v>Sí</v>
      </c>
      <c r="E325" s="3" t="str">
        <f>IF(COUNTIF(graficas!$B:$B,$B325)&gt;0,"Sí","")</f>
        <v/>
      </c>
      <c r="F325" s="3">
        <f t="shared" si="10"/>
        <v>1</v>
      </c>
      <c r="G325" t="str">
        <f t="shared" si="11"/>
        <v>IA</v>
      </c>
    </row>
    <row r="326" spans="1:7" x14ac:dyDescent="0.25">
      <c r="A326" t="s">
        <v>194</v>
      </c>
      <c r="B326" t="s">
        <v>195</v>
      </c>
      <c r="C326" s="3" t="str">
        <f>IF(COUNTIF(ciencia!$B:$B,$B326)&gt;0,"Sí","")</f>
        <v/>
      </c>
      <c r="D326" s="3" t="str">
        <f>IF(COUNTIF(ia!$B:$B,$B326)&gt;0,"Sí","")</f>
        <v>Sí</v>
      </c>
      <c r="E326" s="3" t="str">
        <f>IF(COUNTIF(graficas!$B:$B,$B326)&gt;0,"Sí","")</f>
        <v/>
      </c>
      <c r="F326" s="3">
        <f t="shared" si="10"/>
        <v>1</v>
      </c>
      <c r="G326" t="str">
        <f t="shared" si="11"/>
        <v>IA</v>
      </c>
    </row>
    <row r="327" spans="1:7" x14ac:dyDescent="0.25">
      <c r="A327" t="s">
        <v>196</v>
      </c>
      <c r="B327" t="s">
        <v>197</v>
      </c>
      <c r="C327" s="3" t="str">
        <f>IF(COUNTIF(ciencia!$B:$B,$B327)&gt;0,"Sí","")</f>
        <v/>
      </c>
      <c r="D327" s="3" t="str">
        <f>IF(COUNTIF(ia!$B:$B,$B327)&gt;0,"Sí","")</f>
        <v>Sí</v>
      </c>
      <c r="E327" s="3" t="str">
        <f>IF(COUNTIF(graficas!$B:$B,$B327)&gt;0,"Sí","")</f>
        <v/>
      </c>
      <c r="F327" s="3">
        <f t="shared" si="10"/>
        <v>1</v>
      </c>
      <c r="G327" t="str">
        <f t="shared" si="11"/>
        <v>IA</v>
      </c>
    </row>
    <row r="328" spans="1:7" x14ac:dyDescent="0.25">
      <c r="A328" t="s">
        <v>200</v>
      </c>
      <c r="B328" t="s">
        <v>201</v>
      </c>
      <c r="C328" s="3" t="str">
        <f>IF(COUNTIF(ciencia!$B:$B,$B328)&gt;0,"Sí","")</f>
        <v/>
      </c>
      <c r="D328" s="3" t="str">
        <f>IF(COUNTIF(ia!$B:$B,$B328)&gt;0,"Sí","")</f>
        <v>Sí</v>
      </c>
      <c r="E328" s="3" t="str">
        <f>IF(COUNTIF(graficas!$B:$B,$B328)&gt;0,"Sí","")</f>
        <v/>
      </c>
      <c r="F328" s="3">
        <f t="shared" si="10"/>
        <v>1</v>
      </c>
      <c r="G328" t="str">
        <f t="shared" si="11"/>
        <v>IA</v>
      </c>
    </row>
    <row r="329" spans="1:7" x14ac:dyDescent="0.25">
      <c r="A329" t="s">
        <v>208</v>
      </c>
      <c r="B329" t="s">
        <v>209</v>
      </c>
      <c r="C329" s="3" t="str">
        <f>IF(COUNTIF(ciencia!$B:$B,$B329)&gt;0,"Sí","")</f>
        <v/>
      </c>
      <c r="D329" s="3" t="str">
        <f>IF(COUNTIF(ia!$B:$B,$B329)&gt;0,"Sí","")</f>
        <v>Sí</v>
      </c>
      <c r="E329" s="3" t="str">
        <f>IF(COUNTIF(graficas!$B:$B,$B329)&gt;0,"Sí","")</f>
        <v/>
      </c>
      <c r="F329" s="3">
        <f t="shared" si="10"/>
        <v>1</v>
      </c>
      <c r="G329" t="str">
        <f t="shared" si="11"/>
        <v>IA</v>
      </c>
    </row>
    <row r="330" spans="1:7" x14ac:dyDescent="0.25">
      <c r="A330" t="s">
        <v>210</v>
      </c>
      <c r="B330" t="s">
        <v>211</v>
      </c>
      <c r="C330" s="3" t="str">
        <f>IF(COUNTIF(ciencia!$B:$B,$B330)&gt;0,"Sí","")</f>
        <v/>
      </c>
      <c r="D330" s="3" t="str">
        <f>IF(COUNTIF(ia!$B:$B,$B330)&gt;0,"Sí","")</f>
        <v>Sí</v>
      </c>
      <c r="E330" s="3" t="str">
        <f>IF(COUNTIF(graficas!$B:$B,$B330)&gt;0,"Sí","")</f>
        <v/>
      </c>
      <c r="F330" s="3">
        <f t="shared" si="10"/>
        <v>1</v>
      </c>
      <c r="G330" t="str">
        <f t="shared" si="11"/>
        <v>IA</v>
      </c>
    </row>
    <row r="331" spans="1:7" x14ac:dyDescent="0.25">
      <c r="A331" t="s">
        <v>214</v>
      </c>
      <c r="B331" t="s">
        <v>215</v>
      </c>
      <c r="C331" s="3" t="str">
        <f>IF(COUNTIF(ciencia!$B:$B,$B331)&gt;0,"Sí","")</f>
        <v/>
      </c>
      <c r="D331" s="3" t="str">
        <f>IF(COUNTIF(ia!$B:$B,$B331)&gt;0,"Sí","")</f>
        <v>Sí</v>
      </c>
      <c r="E331" s="3" t="str">
        <f>IF(COUNTIF(graficas!$B:$B,$B331)&gt;0,"Sí","")</f>
        <v/>
      </c>
      <c r="F331" s="3">
        <f t="shared" si="10"/>
        <v>1</v>
      </c>
      <c r="G331" t="str">
        <f t="shared" si="11"/>
        <v>IA</v>
      </c>
    </row>
    <row r="332" spans="1:7" x14ac:dyDescent="0.25">
      <c r="A332" t="s">
        <v>222</v>
      </c>
      <c r="B332" t="s">
        <v>223</v>
      </c>
      <c r="C332" s="3" t="str">
        <f>IF(COUNTIF(ciencia!$B:$B,$B332)&gt;0,"Sí","")</f>
        <v/>
      </c>
      <c r="D332" s="3" t="str">
        <f>IF(COUNTIF(ia!$B:$B,$B332)&gt;0,"Sí","")</f>
        <v>Sí</v>
      </c>
      <c r="E332" s="3" t="str">
        <f>IF(COUNTIF(graficas!$B:$B,$B332)&gt;0,"Sí","")</f>
        <v/>
      </c>
      <c r="F332" s="3">
        <f t="shared" si="10"/>
        <v>1</v>
      </c>
      <c r="G332" t="str">
        <f t="shared" si="11"/>
        <v>IA</v>
      </c>
    </row>
    <row r="333" spans="1:7" x14ac:dyDescent="0.25">
      <c r="A333" t="s">
        <v>224</v>
      </c>
      <c r="B333" t="s">
        <v>225</v>
      </c>
      <c r="C333" s="3" t="str">
        <f>IF(COUNTIF(ciencia!$B:$B,$B333)&gt;0,"Sí","")</f>
        <v/>
      </c>
      <c r="D333" s="3" t="str">
        <f>IF(COUNTIF(ia!$B:$B,$B333)&gt;0,"Sí","")</f>
        <v>Sí</v>
      </c>
      <c r="E333" s="3" t="str">
        <f>IF(COUNTIF(graficas!$B:$B,$B333)&gt;0,"Sí","")</f>
        <v/>
      </c>
      <c r="F333" s="3">
        <f t="shared" si="10"/>
        <v>1</v>
      </c>
      <c r="G333" t="str">
        <f t="shared" si="11"/>
        <v>IA</v>
      </c>
    </row>
    <row r="334" spans="1:7" x14ac:dyDescent="0.25">
      <c r="A334" t="s">
        <v>8</v>
      </c>
      <c r="B334" t="s">
        <v>9</v>
      </c>
      <c r="C334" s="3" t="str">
        <f>IF(COUNTIF(ciencia!$B:$B,$B334)&gt;0,"Sí","")</f>
        <v/>
      </c>
      <c r="D334" s="3" t="str">
        <f>IF(COUNTIF(ia!$B:$B,$B334)&gt;0,"Sí","")</f>
        <v>Sí</v>
      </c>
      <c r="E334" s="3" t="str">
        <f>IF(COUNTIF(graficas!$B:$B,$B334)&gt;0,"Sí","")</f>
        <v>Sí</v>
      </c>
      <c r="F334" s="3">
        <f t="shared" si="10"/>
        <v>2</v>
      </c>
      <c r="G334" t="str">
        <f t="shared" si="11"/>
        <v>IA, Gráficas</v>
      </c>
    </row>
    <row r="335" spans="1:7" x14ac:dyDescent="0.25">
      <c r="A335" t="s">
        <v>228</v>
      </c>
      <c r="B335" t="s">
        <v>229</v>
      </c>
      <c r="C335" s="3" t="str">
        <f>IF(COUNTIF(ciencia!$B:$B,$B335)&gt;0,"Sí","")</f>
        <v/>
      </c>
      <c r="D335" s="3" t="str">
        <f>IF(COUNTIF(ia!$B:$B,$B335)&gt;0,"Sí","")</f>
        <v>Sí</v>
      </c>
      <c r="E335" s="3" t="str">
        <f>IF(COUNTIF(graficas!$B:$B,$B335)&gt;0,"Sí","")</f>
        <v/>
      </c>
      <c r="F335" s="3">
        <f t="shared" si="10"/>
        <v>1</v>
      </c>
      <c r="G335" t="str">
        <f t="shared" si="11"/>
        <v>IA</v>
      </c>
    </row>
    <row r="336" spans="1:7" x14ac:dyDescent="0.25">
      <c r="A336" t="s">
        <v>232</v>
      </c>
      <c r="B336" t="s">
        <v>233</v>
      </c>
      <c r="C336" s="3" t="str">
        <f>IF(COUNTIF(ciencia!$B:$B,$B336)&gt;0,"Sí","")</f>
        <v/>
      </c>
      <c r="D336" s="3" t="str">
        <f>IF(COUNTIF(ia!$B:$B,$B336)&gt;0,"Sí","")</f>
        <v>Sí</v>
      </c>
      <c r="E336" s="3" t="str">
        <f>IF(COUNTIF(graficas!$B:$B,$B336)&gt;0,"Sí","")</f>
        <v/>
      </c>
      <c r="F336" s="3">
        <f t="shared" si="10"/>
        <v>1</v>
      </c>
      <c r="G336" t="str">
        <f t="shared" si="11"/>
        <v>IA</v>
      </c>
    </row>
    <row r="337" spans="1:7" x14ac:dyDescent="0.25">
      <c r="A337" t="s">
        <v>234</v>
      </c>
      <c r="B337" t="s">
        <v>235</v>
      </c>
      <c r="C337" s="3" t="str">
        <f>IF(COUNTIF(ciencia!$B:$B,$B337)&gt;0,"Sí","")</f>
        <v/>
      </c>
      <c r="D337" s="3" t="str">
        <f>IF(COUNTIF(ia!$B:$B,$B337)&gt;0,"Sí","")</f>
        <v>Sí</v>
      </c>
      <c r="E337" s="3" t="str">
        <f>IF(COUNTIF(graficas!$B:$B,$B337)&gt;0,"Sí","")</f>
        <v/>
      </c>
      <c r="F337" s="3">
        <f t="shared" si="10"/>
        <v>1</v>
      </c>
      <c r="G337" t="str">
        <f t="shared" si="11"/>
        <v>IA</v>
      </c>
    </row>
    <row r="338" spans="1:7" x14ac:dyDescent="0.25">
      <c r="A338" t="s">
        <v>236</v>
      </c>
      <c r="B338" t="s">
        <v>237</v>
      </c>
      <c r="C338" s="3" t="str">
        <f>IF(COUNTIF(ciencia!$B:$B,$B338)&gt;0,"Sí","")</f>
        <v/>
      </c>
      <c r="D338" s="3" t="str">
        <f>IF(COUNTIF(ia!$B:$B,$B338)&gt;0,"Sí","")</f>
        <v>Sí</v>
      </c>
      <c r="E338" s="3" t="str">
        <f>IF(COUNTIF(graficas!$B:$B,$B338)&gt;0,"Sí","")</f>
        <v/>
      </c>
      <c r="F338" s="3">
        <f t="shared" si="10"/>
        <v>1</v>
      </c>
      <c r="G338" t="str">
        <f t="shared" si="11"/>
        <v>IA</v>
      </c>
    </row>
    <row r="339" spans="1:7" x14ac:dyDescent="0.25">
      <c r="A339" t="s">
        <v>238</v>
      </c>
      <c r="B339" t="s">
        <v>239</v>
      </c>
      <c r="C339" s="3" t="str">
        <f>IF(COUNTIF(ciencia!$B:$B,$B339)&gt;0,"Sí","")</f>
        <v/>
      </c>
      <c r="D339" s="3" t="str">
        <f>IF(COUNTIF(ia!$B:$B,$B339)&gt;0,"Sí","")</f>
        <v>Sí</v>
      </c>
      <c r="E339" s="3" t="str">
        <f>IF(COUNTIF(graficas!$B:$B,$B339)&gt;0,"Sí","")</f>
        <v/>
      </c>
      <c r="F339" s="3">
        <f t="shared" si="10"/>
        <v>1</v>
      </c>
      <c r="G339" t="str">
        <f t="shared" si="11"/>
        <v>IA</v>
      </c>
    </row>
    <row r="340" spans="1:7" x14ac:dyDescent="0.25">
      <c r="A340" t="s">
        <v>240</v>
      </c>
      <c r="B340" t="s">
        <v>241</v>
      </c>
      <c r="C340" s="3" t="str">
        <f>IF(COUNTIF(ciencia!$B:$B,$B340)&gt;0,"Sí","")</f>
        <v/>
      </c>
      <c r="D340" s="3" t="str">
        <f>IF(COUNTIF(ia!$B:$B,$B340)&gt;0,"Sí","")</f>
        <v>Sí</v>
      </c>
      <c r="E340" s="3" t="str">
        <f>IF(COUNTIF(graficas!$B:$B,$B340)&gt;0,"Sí","")</f>
        <v/>
      </c>
      <c r="F340" s="3">
        <f t="shared" si="10"/>
        <v>1</v>
      </c>
      <c r="G340" t="str">
        <f t="shared" si="11"/>
        <v>IA</v>
      </c>
    </row>
    <row r="341" spans="1:7" x14ac:dyDescent="0.25">
      <c r="A341" t="s">
        <v>244</v>
      </c>
      <c r="B341" t="s">
        <v>245</v>
      </c>
      <c r="C341" s="3" t="str">
        <f>IF(COUNTIF(ciencia!$B:$B,$B341)&gt;0,"Sí","")</f>
        <v/>
      </c>
      <c r="D341" s="3" t="str">
        <f>IF(COUNTIF(ia!$B:$B,$B341)&gt;0,"Sí","")</f>
        <v>Sí</v>
      </c>
      <c r="E341" s="3" t="str">
        <f>IF(COUNTIF(graficas!$B:$B,$B341)&gt;0,"Sí","")</f>
        <v/>
      </c>
      <c r="F341" s="3">
        <f t="shared" si="10"/>
        <v>1</v>
      </c>
      <c r="G341" t="str">
        <f t="shared" si="11"/>
        <v>IA</v>
      </c>
    </row>
    <row r="342" spans="1:7" x14ac:dyDescent="0.25">
      <c r="A342" t="s">
        <v>246</v>
      </c>
      <c r="B342" t="s">
        <v>247</v>
      </c>
      <c r="C342" s="3" t="str">
        <f>IF(COUNTIF(ciencia!$B:$B,$B342)&gt;0,"Sí","")</f>
        <v/>
      </c>
      <c r="D342" s="3" t="str">
        <f>IF(COUNTIF(ia!$B:$B,$B342)&gt;0,"Sí","")</f>
        <v>Sí</v>
      </c>
      <c r="E342" s="3" t="str">
        <f>IF(COUNTIF(graficas!$B:$B,$B342)&gt;0,"Sí","")</f>
        <v/>
      </c>
      <c r="F342" s="3">
        <f t="shared" si="10"/>
        <v>1</v>
      </c>
      <c r="G342" t="str">
        <f t="shared" si="11"/>
        <v>IA</v>
      </c>
    </row>
    <row r="343" spans="1:7" x14ac:dyDescent="0.25">
      <c r="A343" t="s">
        <v>248</v>
      </c>
      <c r="B343" t="s">
        <v>249</v>
      </c>
      <c r="C343" s="3" t="str">
        <f>IF(COUNTIF(ciencia!$B:$B,$B343)&gt;0,"Sí","")</f>
        <v/>
      </c>
      <c r="D343" s="3" t="str">
        <f>IF(COUNTIF(ia!$B:$B,$B343)&gt;0,"Sí","")</f>
        <v>Sí</v>
      </c>
      <c r="E343" s="3" t="str">
        <f>IF(COUNTIF(graficas!$B:$B,$B343)&gt;0,"Sí","")</f>
        <v/>
      </c>
      <c r="F343" s="3">
        <f t="shared" si="10"/>
        <v>1</v>
      </c>
      <c r="G343" t="str">
        <f t="shared" si="11"/>
        <v>IA</v>
      </c>
    </row>
    <row r="344" spans="1:7" x14ac:dyDescent="0.25">
      <c r="A344" t="s">
        <v>250</v>
      </c>
      <c r="B344" t="s">
        <v>251</v>
      </c>
      <c r="C344" s="3" t="str">
        <f>IF(COUNTIF(ciencia!$B:$B,$B344)&gt;0,"Sí","")</f>
        <v/>
      </c>
      <c r="D344" s="3" t="str">
        <f>IF(COUNTIF(ia!$B:$B,$B344)&gt;0,"Sí","")</f>
        <v>Sí</v>
      </c>
      <c r="E344" s="3" t="str">
        <f>IF(COUNTIF(graficas!$B:$B,$B344)&gt;0,"Sí","")</f>
        <v/>
      </c>
      <c r="F344" s="3">
        <f t="shared" si="10"/>
        <v>1</v>
      </c>
      <c r="G344" t="str">
        <f t="shared" si="11"/>
        <v>IA</v>
      </c>
    </row>
    <row r="345" spans="1:7" x14ac:dyDescent="0.25">
      <c r="A345" t="s">
        <v>252</v>
      </c>
      <c r="B345" t="s">
        <v>253</v>
      </c>
      <c r="C345" s="3" t="str">
        <f>IF(COUNTIF(ciencia!$B:$B,$B345)&gt;0,"Sí","")</f>
        <v/>
      </c>
      <c r="D345" s="3" t="str">
        <f>IF(COUNTIF(ia!$B:$B,$B345)&gt;0,"Sí","")</f>
        <v>Sí</v>
      </c>
      <c r="E345" s="3" t="str">
        <f>IF(COUNTIF(graficas!$B:$B,$B345)&gt;0,"Sí","")</f>
        <v/>
      </c>
      <c r="F345" s="3">
        <f t="shared" si="10"/>
        <v>1</v>
      </c>
      <c r="G345" t="str">
        <f t="shared" si="11"/>
        <v>IA</v>
      </c>
    </row>
    <row r="346" spans="1:7" x14ac:dyDescent="0.25">
      <c r="A346" t="s">
        <v>254</v>
      </c>
      <c r="B346" t="s">
        <v>255</v>
      </c>
      <c r="C346" s="3" t="str">
        <f>IF(COUNTIF(ciencia!$B:$B,$B346)&gt;0,"Sí","")</f>
        <v/>
      </c>
      <c r="D346" s="3" t="str">
        <f>IF(COUNTIF(ia!$B:$B,$B346)&gt;0,"Sí","")</f>
        <v>Sí</v>
      </c>
      <c r="E346" s="3" t="str">
        <f>IF(COUNTIF(graficas!$B:$B,$B346)&gt;0,"Sí","")</f>
        <v/>
      </c>
      <c r="F346" s="3">
        <f t="shared" si="10"/>
        <v>1</v>
      </c>
      <c r="G346" t="str">
        <f t="shared" si="11"/>
        <v>IA</v>
      </c>
    </row>
    <row r="347" spans="1:7" x14ac:dyDescent="0.25">
      <c r="A347" t="s">
        <v>256</v>
      </c>
      <c r="B347" t="s">
        <v>257</v>
      </c>
      <c r="C347" s="3" t="str">
        <f>IF(COUNTIF(ciencia!$B:$B,$B347)&gt;0,"Sí","")</f>
        <v/>
      </c>
      <c r="D347" s="3" t="str">
        <f>IF(COUNTIF(ia!$B:$B,$B347)&gt;0,"Sí","")</f>
        <v>Sí</v>
      </c>
      <c r="E347" s="3" t="str">
        <f>IF(COUNTIF(graficas!$B:$B,$B347)&gt;0,"Sí","")</f>
        <v/>
      </c>
      <c r="F347" s="3">
        <f t="shared" si="10"/>
        <v>1</v>
      </c>
      <c r="G347" t="str">
        <f t="shared" si="11"/>
        <v>IA</v>
      </c>
    </row>
    <row r="348" spans="1:7" x14ac:dyDescent="0.25">
      <c r="A348" t="s">
        <v>260</v>
      </c>
      <c r="B348" t="s">
        <v>261</v>
      </c>
      <c r="C348" s="3" t="str">
        <f>IF(COUNTIF(ciencia!$B:$B,$B348)&gt;0,"Sí","")</f>
        <v/>
      </c>
      <c r="D348" s="3" t="str">
        <f>IF(COUNTIF(ia!$B:$B,$B348)&gt;0,"Sí","")</f>
        <v>Sí</v>
      </c>
      <c r="E348" s="3" t="str">
        <f>IF(COUNTIF(graficas!$B:$B,$B348)&gt;0,"Sí","")</f>
        <v/>
      </c>
      <c r="F348" s="3">
        <f t="shared" si="10"/>
        <v>1</v>
      </c>
      <c r="G348" t="str">
        <f t="shared" si="11"/>
        <v>IA</v>
      </c>
    </row>
    <row r="349" spans="1:7" x14ac:dyDescent="0.25">
      <c r="A349" t="s">
        <v>76</v>
      </c>
      <c r="B349" t="s">
        <v>77</v>
      </c>
      <c r="C349" s="3" t="str">
        <f>IF(COUNTIF(ciencia!$B:$B,$B349)&gt;0,"Sí","")</f>
        <v/>
      </c>
      <c r="D349" s="3" t="str">
        <f>IF(COUNTIF(ia!$B:$B,$B349)&gt;0,"Sí","")</f>
        <v>Sí</v>
      </c>
      <c r="E349" s="3" t="str">
        <f>IF(COUNTIF(graficas!$B:$B,$B349)&gt;0,"Sí","")</f>
        <v>Sí</v>
      </c>
      <c r="F349" s="3">
        <f t="shared" si="10"/>
        <v>2</v>
      </c>
      <c r="G349" t="str">
        <f t="shared" si="11"/>
        <v>IA, Gráficas</v>
      </c>
    </row>
    <row r="350" spans="1:7" x14ac:dyDescent="0.25">
      <c r="A350" t="s">
        <v>262</v>
      </c>
      <c r="B350" t="s">
        <v>263</v>
      </c>
      <c r="C350" s="3" t="str">
        <f>IF(COUNTIF(ciencia!$B:$B,$B350)&gt;0,"Sí","")</f>
        <v/>
      </c>
      <c r="D350" s="3" t="str">
        <f>IF(COUNTIF(ia!$B:$B,$B350)&gt;0,"Sí","")</f>
        <v>Sí</v>
      </c>
      <c r="E350" s="3" t="str">
        <f>IF(COUNTIF(graficas!$B:$B,$B350)&gt;0,"Sí","")</f>
        <v/>
      </c>
      <c r="F350" s="3">
        <f t="shared" si="10"/>
        <v>1</v>
      </c>
      <c r="G350" t="str">
        <f t="shared" si="11"/>
        <v>IA</v>
      </c>
    </row>
    <row r="351" spans="1:7" x14ac:dyDescent="0.25">
      <c r="A351" t="s">
        <v>264</v>
      </c>
      <c r="B351" t="s">
        <v>265</v>
      </c>
      <c r="C351" s="3" t="str">
        <f>IF(COUNTIF(ciencia!$B:$B,$B351)&gt;0,"Sí","")</f>
        <v/>
      </c>
      <c r="D351" s="3" t="str">
        <f>IF(COUNTIF(ia!$B:$B,$B351)&gt;0,"Sí","")</f>
        <v>Sí</v>
      </c>
      <c r="E351" s="3" t="str">
        <f>IF(COUNTIF(graficas!$B:$B,$B351)&gt;0,"Sí","")</f>
        <v/>
      </c>
      <c r="F351" s="3">
        <f t="shared" si="10"/>
        <v>1</v>
      </c>
      <c r="G351" t="str">
        <f t="shared" si="11"/>
        <v>IA</v>
      </c>
    </row>
    <row r="352" spans="1:7" x14ac:dyDescent="0.25">
      <c r="A352" t="s">
        <v>266</v>
      </c>
      <c r="B352" t="s">
        <v>267</v>
      </c>
      <c r="C352" s="3" t="str">
        <f>IF(COUNTIF(ciencia!$B:$B,$B352)&gt;0,"Sí","")</f>
        <v/>
      </c>
      <c r="D352" s="3" t="str">
        <f>IF(COUNTIF(ia!$B:$B,$B352)&gt;0,"Sí","")</f>
        <v>Sí</v>
      </c>
      <c r="E352" s="3" t="str">
        <f>IF(COUNTIF(graficas!$B:$B,$B352)&gt;0,"Sí","")</f>
        <v/>
      </c>
      <c r="F352" s="3">
        <f t="shared" si="10"/>
        <v>1</v>
      </c>
      <c r="G352" t="str">
        <f t="shared" si="11"/>
        <v>IA</v>
      </c>
    </row>
    <row r="353" spans="1:7" x14ac:dyDescent="0.25">
      <c r="A353" t="s">
        <v>268</v>
      </c>
      <c r="B353" t="s">
        <v>269</v>
      </c>
      <c r="C353" s="3" t="str">
        <f>IF(COUNTIF(ciencia!$B:$B,$B353)&gt;0,"Sí","")</f>
        <v/>
      </c>
      <c r="D353" s="3" t="str">
        <f>IF(COUNTIF(ia!$B:$B,$B353)&gt;0,"Sí","")</f>
        <v>Sí</v>
      </c>
      <c r="E353" s="3" t="str">
        <f>IF(COUNTIF(graficas!$B:$B,$B353)&gt;0,"Sí","")</f>
        <v/>
      </c>
      <c r="F353" s="3">
        <f t="shared" si="10"/>
        <v>1</v>
      </c>
      <c r="G353" t="str">
        <f t="shared" si="11"/>
        <v>IA</v>
      </c>
    </row>
    <row r="354" spans="1:7" x14ac:dyDescent="0.25">
      <c r="A354" t="s">
        <v>270</v>
      </c>
      <c r="B354" t="s">
        <v>271</v>
      </c>
      <c r="C354" s="3" t="str">
        <f>IF(COUNTIF(ciencia!$B:$B,$B354)&gt;0,"Sí","")</f>
        <v/>
      </c>
      <c r="D354" s="3" t="str">
        <f>IF(COUNTIF(ia!$B:$B,$B354)&gt;0,"Sí","")</f>
        <v>Sí</v>
      </c>
      <c r="E354" s="3" t="str">
        <f>IF(COUNTIF(graficas!$B:$B,$B354)&gt;0,"Sí","")</f>
        <v/>
      </c>
      <c r="F354" s="3">
        <f t="shared" si="10"/>
        <v>1</v>
      </c>
      <c r="G354" t="str">
        <f t="shared" si="11"/>
        <v>IA</v>
      </c>
    </row>
    <row r="355" spans="1:7" x14ac:dyDescent="0.25">
      <c r="A355" t="s">
        <v>272</v>
      </c>
      <c r="B355" t="s">
        <v>273</v>
      </c>
      <c r="C355" s="3" t="str">
        <f>IF(COUNTIF(ciencia!$B:$B,$B355)&gt;0,"Sí","")</f>
        <v/>
      </c>
      <c r="D355" s="3" t="str">
        <f>IF(COUNTIF(ia!$B:$B,$B355)&gt;0,"Sí","")</f>
        <v>Sí</v>
      </c>
      <c r="E355" s="3" t="str">
        <f>IF(COUNTIF(graficas!$B:$B,$B355)&gt;0,"Sí","")</f>
        <v/>
      </c>
      <c r="F355" s="3">
        <f t="shared" si="10"/>
        <v>1</v>
      </c>
      <c r="G355" t="str">
        <f t="shared" si="11"/>
        <v>IA</v>
      </c>
    </row>
    <row r="356" spans="1:7" x14ac:dyDescent="0.25">
      <c r="A356" t="s">
        <v>274</v>
      </c>
      <c r="B356" t="s">
        <v>275</v>
      </c>
      <c r="C356" s="3" t="str">
        <f>IF(COUNTIF(ciencia!$B:$B,$B356)&gt;0,"Sí","")</f>
        <v/>
      </c>
      <c r="D356" s="3" t="str">
        <f>IF(COUNTIF(ia!$B:$B,$B356)&gt;0,"Sí","")</f>
        <v>Sí</v>
      </c>
      <c r="E356" s="3" t="str">
        <f>IF(COUNTIF(graficas!$B:$B,$B356)&gt;0,"Sí","")</f>
        <v/>
      </c>
      <c r="F356" s="3">
        <f t="shared" si="10"/>
        <v>1</v>
      </c>
      <c r="G356" t="str">
        <f t="shared" si="11"/>
        <v>IA</v>
      </c>
    </row>
    <row r="357" spans="1:7" x14ac:dyDescent="0.25">
      <c r="A357" t="s">
        <v>276</v>
      </c>
      <c r="B357" t="s">
        <v>277</v>
      </c>
      <c r="C357" s="3" t="str">
        <f>IF(COUNTIF(ciencia!$B:$B,$B357)&gt;0,"Sí","")</f>
        <v/>
      </c>
      <c r="D357" s="3" t="str">
        <f>IF(COUNTIF(ia!$B:$B,$B357)&gt;0,"Sí","")</f>
        <v>Sí</v>
      </c>
      <c r="E357" s="3" t="str">
        <f>IF(COUNTIF(graficas!$B:$B,$B357)&gt;0,"Sí","")</f>
        <v/>
      </c>
      <c r="F357" s="3">
        <f t="shared" si="10"/>
        <v>1</v>
      </c>
      <c r="G357" t="str">
        <f t="shared" si="11"/>
        <v>IA</v>
      </c>
    </row>
    <row r="358" spans="1:7" x14ac:dyDescent="0.25">
      <c r="A358" t="s">
        <v>278</v>
      </c>
      <c r="B358" t="s">
        <v>279</v>
      </c>
      <c r="C358" s="3" t="str">
        <f>IF(COUNTIF(ciencia!$B:$B,$B358)&gt;0,"Sí","")</f>
        <v/>
      </c>
      <c r="D358" s="3" t="str">
        <f>IF(COUNTIF(ia!$B:$B,$B358)&gt;0,"Sí","")</f>
        <v>Sí</v>
      </c>
      <c r="E358" s="3" t="str">
        <f>IF(COUNTIF(graficas!$B:$B,$B358)&gt;0,"Sí","")</f>
        <v/>
      </c>
      <c r="F358" s="3">
        <f t="shared" si="10"/>
        <v>1</v>
      </c>
      <c r="G358" t="str">
        <f t="shared" si="11"/>
        <v>IA</v>
      </c>
    </row>
    <row r="359" spans="1:7" x14ac:dyDescent="0.25">
      <c r="A359" t="s">
        <v>280</v>
      </c>
      <c r="B359" t="s">
        <v>281</v>
      </c>
      <c r="C359" s="3" t="str">
        <f>IF(COUNTIF(ciencia!$B:$B,$B359)&gt;0,"Sí","")</f>
        <v/>
      </c>
      <c r="D359" s="3" t="str">
        <f>IF(COUNTIF(ia!$B:$B,$B359)&gt;0,"Sí","")</f>
        <v>Sí</v>
      </c>
      <c r="E359" s="3" t="str">
        <f>IF(COUNTIF(graficas!$B:$B,$B359)&gt;0,"Sí","")</f>
        <v/>
      </c>
      <c r="F359" s="3">
        <f t="shared" si="10"/>
        <v>1</v>
      </c>
      <c r="G359" t="str">
        <f t="shared" si="11"/>
        <v>IA</v>
      </c>
    </row>
    <row r="360" spans="1:7" x14ac:dyDescent="0.25">
      <c r="A360" t="s">
        <v>282</v>
      </c>
      <c r="B360" t="s">
        <v>283</v>
      </c>
      <c r="C360" s="3" t="str">
        <f>IF(COUNTIF(ciencia!$B:$B,$B360)&gt;0,"Sí","")</f>
        <v/>
      </c>
      <c r="D360" s="3" t="str">
        <f>IF(COUNTIF(ia!$B:$B,$B360)&gt;0,"Sí","")</f>
        <v>Sí</v>
      </c>
      <c r="E360" s="3" t="str">
        <f>IF(COUNTIF(graficas!$B:$B,$B360)&gt;0,"Sí","")</f>
        <v/>
      </c>
      <c r="F360" s="3">
        <f t="shared" si="10"/>
        <v>1</v>
      </c>
      <c r="G360" t="str">
        <f t="shared" si="11"/>
        <v>IA</v>
      </c>
    </row>
    <row r="361" spans="1:7" x14ac:dyDescent="0.25">
      <c r="A361" t="s">
        <v>284</v>
      </c>
      <c r="B361" t="s">
        <v>285</v>
      </c>
      <c r="C361" s="3" t="str">
        <f>IF(COUNTIF(ciencia!$B:$B,$B361)&gt;0,"Sí","")</f>
        <v/>
      </c>
      <c r="D361" s="3" t="str">
        <f>IF(COUNTIF(ia!$B:$B,$B361)&gt;0,"Sí","")</f>
        <v>Sí</v>
      </c>
      <c r="E361" s="3" t="str">
        <f>IF(COUNTIF(graficas!$B:$B,$B361)&gt;0,"Sí","")</f>
        <v/>
      </c>
      <c r="F361" s="3">
        <f t="shared" si="10"/>
        <v>1</v>
      </c>
      <c r="G361" t="str">
        <f t="shared" si="11"/>
        <v>IA</v>
      </c>
    </row>
    <row r="362" spans="1:7" x14ac:dyDescent="0.25">
      <c r="A362" t="s">
        <v>286</v>
      </c>
      <c r="B362" t="s">
        <v>287</v>
      </c>
      <c r="C362" s="3" t="str">
        <f>IF(COUNTIF(ciencia!$B:$B,$B362)&gt;0,"Sí","")</f>
        <v/>
      </c>
      <c r="D362" s="3" t="str">
        <f>IF(COUNTIF(ia!$B:$B,$B362)&gt;0,"Sí","")</f>
        <v>Sí</v>
      </c>
      <c r="E362" s="3" t="str">
        <f>IF(COUNTIF(graficas!$B:$B,$B362)&gt;0,"Sí","")</f>
        <v/>
      </c>
      <c r="F362" s="3">
        <f t="shared" si="10"/>
        <v>1</v>
      </c>
      <c r="G362" t="str">
        <f t="shared" si="11"/>
        <v>IA</v>
      </c>
    </row>
    <row r="363" spans="1:7" x14ac:dyDescent="0.25">
      <c r="A363" t="s">
        <v>288</v>
      </c>
      <c r="B363" t="s">
        <v>289</v>
      </c>
      <c r="C363" s="3" t="str">
        <f>IF(COUNTIF(ciencia!$B:$B,$B363)&gt;0,"Sí","")</f>
        <v/>
      </c>
      <c r="D363" s="3" t="str">
        <f>IF(COUNTIF(ia!$B:$B,$B363)&gt;0,"Sí","")</f>
        <v>Sí</v>
      </c>
      <c r="E363" s="3" t="str">
        <f>IF(COUNTIF(graficas!$B:$B,$B363)&gt;0,"Sí","")</f>
        <v/>
      </c>
      <c r="F363" s="3">
        <f t="shared" si="10"/>
        <v>1</v>
      </c>
      <c r="G363" t="str">
        <f t="shared" si="11"/>
        <v>IA</v>
      </c>
    </row>
    <row r="364" spans="1:7" x14ac:dyDescent="0.25">
      <c r="A364" t="s">
        <v>292</v>
      </c>
      <c r="B364" t="s">
        <v>293</v>
      </c>
      <c r="C364" s="3" t="str">
        <f>IF(COUNTIF(ciencia!$B:$B,$B364)&gt;0,"Sí","")</f>
        <v/>
      </c>
      <c r="D364" s="3" t="str">
        <f>IF(COUNTIF(ia!$B:$B,$B364)&gt;0,"Sí","")</f>
        <v>Sí</v>
      </c>
      <c r="E364" s="3" t="str">
        <f>IF(COUNTIF(graficas!$B:$B,$B364)&gt;0,"Sí","")</f>
        <v/>
      </c>
      <c r="F364" s="3">
        <f t="shared" si="10"/>
        <v>1</v>
      </c>
      <c r="G364" t="str">
        <f t="shared" si="11"/>
        <v>IA</v>
      </c>
    </row>
    <row r="365" spans="1:7" x14ac:dyDescent="0.25">
      <c r="A365" t="s">
        <v>294</v>
      </c>
      <c r="B365" t="s">
        <v>295</v>
      </c>
      <c r="C365" s="3" t="str">
        <f>IF(COUNTIF(ciencia!$B:$B,$B365)&gt;0,"Sí","")</f>
        <v/>
      </c>
      <c r="D365" s="3" t="str">
        <f>IF(COUNTIF(ia!$B:$B,$B365)&gt;0,"Sí","")</f>
        <v>Sí</v>
      </c>
      <c r="E365" s="3" t="str">
        <f>IF(COUNTIF(graficas!$B:$B,$B365)&gt;0,"Sí","")</f>
        <v/>
      </c>
      <c r="F365" s="3">
        <f t="shared" si="10"/>
        <v>1</v>
      </c>
      <c r="G365" t="str">
        <f t="shared" si="11"/>
        <v>IA</v>
      </c>
    </row>
    <row r="366" spans="1:7" x14ac:dyDescent="0.25">
      <c r="A366" t="s">
        <v>298</v>
      </c>
      <c r="B366" t="s">
        <v>299</v>
      </c>
      <c r="C366" s="3" t="str">
        <f>IF(COUNTIF(ciencia!$B:$B,$B366)&gt;0,"Sí","")</f>
        <v/>
      </c>
      <c r="D366" s="3" t="str">
        <f>IF(COUNTIF(ia!$B:$B,$B366)&gt;0,"Sí","")</f>
        <v>Sí</v>
      </c>
      <c r="E366" s="3" t="str">
        <f>IF(COUNTIF(graficas!$B:$B,$B366)&gt;0,"Sí","")</f>
        <v/>
      </c>
      <c r="F366" s="3">
        <f t="shared" si="10"/>
        <v>1</v>
      </c>
      <c r="G366" t="str">
        <f t="shared" si="11"/>
        <v>IA</v>
      </c>
    </row>
    <row r="367" spans="1:7" x14ac:dyDescent="0.25">
      <c r="A367" t="s">
        <v>304</v>
      </c>
      <c r="B367" t="s">
        <v>305</v>
      </c>
      <c r="C367" s="3" t="str">
        <f>IF(COUNTIF(ciencia!$B:$B,$B367)&gt;0,"Sí","")</f>
        <v/>
      </c>
      <c r="D367" s="3" t="str">
        <f>IF(COUNTIF(ia!$B:$B,$B367)&gt;0,"Sí","")</f>
        <v>Sí</v>
      </c>
      <c r="E367" s="3" t="str">
        <f>IF(COUNTIF(graficas!$B:$B,$B367)&gt;0,"Sí","")</f>
        <v/>
      </c>
      <c r="F367" s="3">
        <f t="shared" si="10"/>
        <v>1</v>
      </c>
      <c r="G367" t="str">
        <f t="shared" si="11"/>
        <v>IA</v>
      </c>
    </row>
    <row r="368" spans="1:7" x14ac:dyDescent="0.25">
      <c r="A368" t="s">
        <v>306</v>
      </c>
      <c r="B368" t="s">
        <v>307</v>
      </c>
      <c r="C368" s="3" t="str">
        <f>IF(COUNTIF(ciencia!$B:$B,$B368)&gt;0,"Sí","")</f>
        <v/>
      </c>
      <c r="D368" s="3" t="str">
        <f>IF(COUNTIF(ia!$B:$B,$B368)&gt;0,"Sí","")</f>
        <v>Sí</v>
      </c>
      <c r="E368" s="3" t="str">
        <f>IF(COUNTIF(graficas!$B:$B,$B368)&gt;0,"Sí","")</f>
        <v/>
      </c>
      <c r="F368" s="3">
        <f t="shared" si="10"/>
        <v>1</v>
      </c>
      <c r="G368" t="str">
        <f t="shared" si="11"/>
        <v>IA</v>
      </c>
    </row>
    <row r="369" spans="1:7" x14ac:dyDescent="0.25">
      <c r="A369" t="s">
        <v>308</v>
      </c>
      <c r="B369" t="s">
        <v>309</v>
      </c>
      <c r="C369" s="3" t="str">
        <f>IF(COUNTIF(ciencia!$B:$B,$B369)&gt;0,"Sí","")</f>
        <v/>
      </c>
      <c r="D369" s="3" t="str">
        <f>IF(COUNTIF(ia!$B:$B,$B369)&gt;0,"Sí","")</f>
        <v>Sí</v>
      </c>
      <c r="E369" s="3" t="str">
        <f>IF(COUNTIF(graficas!$B:$B,$B369)&gt;0,"Sí","")</f>
        <v/>
      </c>
      <c r="F369" s="3">
        <f t="shared" si="10"/>
        <v>1</v>
      </c>
      <c r="G369" t="str">
        <f t="shared" si="11"/>
        <v>IA</v>
      </c>
    </row>
    <row r="370" spans="1:7" x14ac:dyDescent="0.25">
      <c r="A370" t="s">
        <v>310</v>
      </c>
      <c r="B370" t="s">
        <v>311</v>
      </c>
      <c r="C370" s="3" t="str">
        <f>IF(COUNTIF(ciencia!$B:$B,$B370)&gt;0,"Sí","")</f>
        <v/>
      </c>
      <c r="D370" s="3" t="str">
        <f>IF(COUNTIF(ia!$B:$B,$B370)&gt;0,"Sí","")</f>
        <v>Sí</v>
      </c>
      <c r="E370" s="3" t="str">
        <f>IF(COUNTIF(graficas!$B:$B,$B370)&gt;0,"Sí","")</f>
        <v/>
      </c>
      <c r="F370" s="3">
        <f t="shared" si="10"/>
        <v>1</v>
      </c>
      <c r="G370" t="str">
        <f t="shared" si="11"/>
        <v>IA</v>
      </c>
    </row>
    <row r="371" spans="1:7" x14ac:dyDescent="0.25">
      <c r="A371" t="s">
        <v>312</v>
      </c>
      <c r="B371" t="s">
        <v>313</v>
      </c>
      <c r="C371" s="3" t="str">
        <f>IF(COUNTIF(ciencia!$B:$B,$B371)&gt;0,"Sí","")</f>
        <v/>
      </c>
      <c r="D371" s="3" t="str">
        <f>IF(COUNTIF(ia!$B:$B,$B371)&gt;0,"Sí","")</f>
        <v>Sí</v>
      </c>
      <c r="E371" s="3" t="str">
        <f>IF(COUNTIF(graficas!$B:$B,$B371)&gt;0,"Sí","")</f>
        <v/>
      </c>
      <c r="F371" s="3">
        <f t="shared" si="10"/>
        <v>1</v>
      </c>
      <c r="G371" t="str">
        <f t="shared" si="11"/>
        <v>IA</v>
      </c>
    </row>
    <row r="372" spans="1:7" x14ac:dyDescent="0.25">
      <c r="A372" t="s">
        <v>314</v>
      </c>
      <c r="B372" t="s">
        <v>315</v>
      </c>
      <c r="C372" s="3" t="str">
        <f>IF(COUNTIF(ciencia!$B:$B,$B372)&gt;0,"Sí","")</f>
        <v/>
      </c>
      <c r="D372" s="3" t="str">
        <f>IF(COUNTIF(ia!$B:$B,$B372)&gt;0,"Sí","")</f>
        <v>Sí</v>
      </c>
      <c r="E372" s="3" t="str">
        <f>IF(COUNTIF(graficas!$B:$B,$B372)&gt;0,"Sí","")</f>
        <v/>
      </c>
      <c r="F372" s="3">
        <f t="shared" si="10"/>
        <v>1</v>
      </c>
      <c r="G372" t="str">
        <f t="shared" si="11"/>
        <v>IA</v>
      </c>
    </row>
    <row r="373" spans="1:7" x14ac:dyDescent="0.25">
      <c r="A373" t="s">
        <v>316</v>
      </c>
      <c r="B373" t="s">
        <v>317</v>
      </c>
      <c r="C373" s="3" t="str">
        <f>IF(COUNTIF(ciencia!$B:$B,$B373)&gt;0,"Sí","")</f>
        <v/>
      </c>
      <c r="D373" s="3" t="str">
        <f>IF(COUNTIF(ia!$B:$B,$B373)&gt;0,"Sí","")</f>
        <v>Sí</v>
      </c>
      <c r="E373" s="3" t="str">
        <f>IF(COUNTIF(graficas!$B:$B,$B373)&gt;0,"Sí","")</f>
        <v/>
      </c>
      <c r="F373" s="3">
        <f t="shared" si="10"/>
        <v>1</v>
      </c>
      <c r="G373" t="str">
        <f t="shared" si="11"/>
        <v>IA</v>
      </c>
    </row>
    <row r="374" spans="1:7" x14ac:dyDescent="0.25">
      <c r="A374" t="s">
        <v>318</v>
      </c>
      <c r="B374" t="s">
        <v>319</v>
      </c>
      <c r="C374" s="3" t="str">
        <f>IF(COUNTIF(ciencia!$B:$B,$B374)&gt;0,"Sí","")</f>
        <v/>
      </c>
      <c r="D374" s="3" t="str">
        <f>IF(COUNTIF(ia!$B:$B,$B374)&gt;0,"Sí","")</f>
        <v>Sí</v>
      </c>
      <c r="E374" s="3" t="str">
        <f>IF(COUNTIF(graficas!$B:$B,$B374)&gt;0,"Sí","")</f>
        <v/>
      </c>
      <c r="F374" s="3">
        <f t="shared" si="10"/>
        <v>1</v>
      </c>
      <c r="G374" t="str">
        <f t="shared" si="11"/>
        <v>IA</v>
      </c>
    </row>
    <row r="375" spans="1:7" x14ac:dyDescent="0.25">
      <c r="A375" t="s">
        <v>320</v>
      </c>
      <c r="B375" t="s">
        <v>321</v>
      </c>
      <c r="C375" s="3" t="str">
        <f>IF(COUNTIF(ciencia!$B:$B,$B375)&gt;0,"Sí","")</f>
        <v/>
      </c>
      <c r="D375" s="3" t="str">
        <f>IF(COUNTIF(ia!$B:$B,$B375)&gt;0,"Sí","")</f>
        <v>Sí</v>
      </c>
      <c r="E375" s="3" t="str">
        <f>IF(COUNTIF(graficas!$B:$B,$B375)&gt;0,"Sí","")</f>
        <v/>
      </c>
      <c r="F375" s="3">
        <f t="shared" si="10"/>
        <v>1</v>
      </c>
      <c r="G375" t="str">
        <f t="shared" si="11"/>
        <v>IA</v>
      </c>
    </row>
    <row r="376" spans="1:7" x14ac:dyDescent="0.25">
      <c r="A376" t="s">
        <v>324</v>
      </c>
      <c r="B376" t="s">
        <v>325</v>
      </c>
      <c r="C376" s="3" t="str">
        <f>IF(COUNTIF(ciencia!$B:$B,$B376)&gt;0,"Sí","")</f>
        <v/>
      </c>
      <c r="D376" s="3" t="str">
        <f>IF(COUNTIF(ia!$B:$B,$B376)&gt;0,"Sí","")</f>
        <v>Sí</v>
      </c>
      <c r="E376" s="3" t="str">
        <f>IF(COUNTIF(graficas!$B:$B,$B376)&gt;0,"Sí","")</f>
        <v/>
      </c>
      <c r="F376" s="3">
        <f t="shared" si="10"/>
        <v>1</v>
      </c>
      <c r="G376" t="str">
        <f t="shared" si="11"/>
        <v>IA</v>
      </c>
    </row>
    <row r="377" spans="1:7" x14ac:dyDescent="0.25">
      <c r="A377" t="s">
        <v>326</v>
      </c>
      <c r="B377" t="s">
        <v>327</v>
      </c>
      <c r="C377" s="3" t="str">
        <f>IF(COUNTIF(ciencia!$B:$B,$B377)&gt;0,"Sí","")</f>
        <v/>
      </c>
      <c r="D377" s="3" t="str">
        <f>IF(COUNTIF(ia!$B:$B,$B377)&gt;0,"Sí","")</f>
        <v>Sí</v>
      </c>
      <c r="E377" s="3" t="str">
        <f>IF(COUNTIF(graficas!$B:$B,$B377)&gt;0,"Sí","")</f>
        <v/>
      </c>
      <c r="F377" s="3">
        <f t="shared" si="10"/>
        <v>1</v>
      </c>
      <c r="G377" t="str">
        <f t="shared" si="11"/>
        <v>IA</v>
      </c>
    </row>
    <row r="378" spans="1:7" x14ac:dyDescent="0.25">
      <c r="A378" t="s">
        <v>328</v>
      </c>
      <c r="B378" t="s">
        <v>329</v>
      </c>
      <c r="C378" s="3" t="str">
        <f>IF(COUNTIF(ciencia!$B:$B,$B378)&gt;0,"Sí","")</f>
        <v/>
      </c>
      <c r="D378" s="3" t="str">
        <f>IF(COUNTIF(ia!$B:$B,$B378)&gt;0,"Sí","")</f>
        <v>Sí</v>
      </c>
      <c r="E378" s="3" t="str">
        <f>IF(COUNTIF(graficas!$B:$B,$B378)&gt;0,"Sí","")</f>
        <v/>
      </c>
      <c r="F378" s="3">
        <f t="shared" si="10"/>
        <v>1</v>
      </c>
      <c r="G378" t="str">
        <f t="shared" si="11"/>
        <v>IA</v>
      </c>
    </row>
    <row r="379" spans="1:7" x14ac:dyDescent="0.25">
      <c r="A379" t="s">
        <v>2</v>
      </c>
      <c r="B379" t="s">
        <v>3</v>
      </c>
      <c r="C379" s="3" t="str">
        <f>IF(COUNTIF(ciencia!$B:$B,$B379)&gt;0,"Sí","")</f>
        <v/>
      </c>
      <c r="D379" s="3" t="str">
        <f>IF(COUNTIF(ia!$B:$B,$B379)&gt;0,"Sí","")</f>
        <v/>
      </c>
      <c r="E379" s="3" t="str">
        <f>IF(COUNTIF(graficas!$B:$B,$B379)&gt;0,"Sí","")</f>
        <v>Sí</v>
      </c>
      <c r="F379" s="3">
        <f t="shared" si="10"/>
        <v>1</v>
      </c>
      <c r="G379" t="str">
        <f t="shared" si="11"/>
        <v>Gráficas</v>
      </c>
    </row>
    <row r="380" spans="1:7" x14ac:dyDescent="0.25">
      <c r="A380" t="s">
        <v>4</v>
      </c>
      <c r="B380" t="s">
        <v>5</v>
      </c>
      <c r="C380" s="3" t="str">
        <f>IF(COUNTIF(ciencia!$B:$B,$B380)&gt;0,"Sí","")</f>
        <v/>
      </c>
      <c r="D380" s="3" t="str">
        <f>IF(COUNTIF(ia!$B:$B,$B380)&gt;0,"Sí","")</f>
        <v/>
      </c>
      <c r="E380" s="3" t="str">
        <f>IF(COUNTIF(graficas!$B:$B,$B380)&gt;0,"Sí","")</f>
        <v>Sí</v>
      </c>
      <c r="F380" s="3">
        <f t="shared" si="10"/>
        <v>1</v>
      </c>
      <c r="G380" t="str">
        <f t="shared" si="11"/>
        <v>Gráficas</v>
      </c>
    </row>
    <row r="381" spans="1:7" x14ac:dyDescent="0.25">
      <c r="A381" t="s">
        <v>6</v>
      </c>
      <c r="B381" t="s">
        <v>7</v>
      </c>
      <c r="C381" s="3" t="str">
        <f>IF(COUNTIF(ciencia!$B:$B,$B381)&gt;0,"Sí","")</f>
        <v/>
      </c>
      <c r="D381" s="3" t="str">
        <f>IF(COUNTIF(ia!$B:$B,$B381)&gt;0,"Sí","")</f>
        <v/>
      </c>
      <c r="E381" s="3" t="str">
        <f>IF(COUNTIF(graficas!$B:$B,$B381)&gt;0,"Sí","")</f>
        <v>Sí</v>
      </c>
      <c r="F381" s="3">
        <f t="shared" si="10"/>
        <v>1</v>
      </c>
      <c r="G381" t="str">
        <f t="shared" si="11"/>
        <v>Gráficas</v>
      </c>
    </row>
    <row r="382" spans="1:7" x14ac:dyDescent="0.25">
      <c r="A382" t="s">
        <v>10</v>
      </c>
      <c r="B382" t="s">
        <v>11</v>
      </c>
      <c r="C382" s="3" t="str">
        <f>IF(COUNTIF(ciencia!$B:$B,$B382)&gt;0,"Sí","")</f>
        <v/>
      </c>
      <c r="D382" s="3" t="str">
        <f>IF(COUNTIF(ia!$B:$B,$B382)&gt;0,"Sí","")</f>
        <v/>
      </c>
      <c r="E382" s="3" t="str">
        <f>IF(COUNTIF(graficas!$B:$B,$B382)&gt;0,"Sí","")</f>
        <v>Sí</v>
      </c>
      <c r="F382" s="3">
        <f t="shared" si="10"/>
        <v>1</v>
      </c>
      <c r="G382" t="str">
        <f t="shared" si="11"/>
        <v>Gráficas</v>
      </c>
    </row>
    <row r="383" spans="1:7" x14ac:dyDescent="0.25">
      <c r="A383" t="s">
        <v>12</v>
      </c>
      <c r="B383" t="s">
        <v>13</v>
      </c>
      <c r="C383" s="3" t="str">
        <f>IF(COUNTIF(ciencia!$B:$B,$B383)&gt;0,"Sí","")</f>
        <v/>
      </c>
      <c r="D383" s="3" t="str">
        <f>IF(COUNTIF(ia!$B:$B,$B383)&gt;0,"Sí","")</f>
        <v/>
      </c>
      <c r="E383" s="3" t="str">
        <f>IF(COUNTIF(graficas!$B:$B,$B383)&gt;0,"Sí","")</f>
        <v>Sí</v>
      </c>
      <c r="F383" s="3">
        <f t="shared" si="10"/>
        <v>1</v>
      </c>
      <c r="G383" t="str">
        <f t="shared" si="11"/>
        <v>Gráficas</v>
      </c>
    </row>
    <row r="384" spans="1:7" x14ac:dyDescent="0.25">
      <c r="A384" t="s">
        <v>14</v>
      </c>
      <c r="B384" t="s">
        <v>15</v>
      </c>
      <c r="C384" s="3" t="str">
        <f>IF(COUNTIF(ciencia!$B:$B,$B384)&gt;0,"Sí","")</f>
        <v/>
      </c>
      <c r="D384" s="3" t="str">
        <f>IF(COUNTIF(ia!$B:$B,$B384)&gt;0,"Sí","")</f>
        <v/>
      </c>
      <c r="E384" s="3" t="str">
        <f>IF(COUNTIF(graficas!$B:$B,$B384)&gt;0,"Sí","")</f>
        <v>Sí</v>
      </c>
      <c r="F384" s="3">
        <f t="shared" si="10"/>
        <v>1</v>
      </c>
      <c r="G384" t="str">
        <f t="shared" si="11"/>
        <v>Gráficas</v>
      </c>
    </row>
    <row r="385" spans="1:7" x14ac:dyDescent="0.25">
      <c r="A385" t="s">
        <v>22</v>
      </c>
      <c r="B385" t="s">
        <v>23</v>
      </c>
      <c r="C385" s="3" t="str">
        <f>IF(COUNTIF(ciencia!$B:$B,$B385)&gt;0,"Sí","")</f>
        <v/>
      </c>
      <c r="D385" s="3" t="str">
        <f>IF(COUNTIF(ia!$B:$B,$B385)&gt;0,"Sí","")</f>
        <v/>
      </c>
      <c r="E385" s="3" t="str">
        <f>IF(COUNTIF(graficas!$B:$B,$B385)&gt;0,"Sí","")</f>
        <v>Sí</v>
      </c>
      <c r="F385" s="3">
        <f t="shared" si="10"/>
        <v>1</v>
      </c>
      <c r="G385" t="str">
        <f t="shared" si="11"/>
        <v>Gráficas</v>
      </c>
    </row>
    <row r="386" spans="1:7" x14ac:dyDescent="0.25">
      <c r="A386" t="s">
        <v>24</v>
      </c>
      <c r="B386" t="s">
        <v>25</v>
      </c>
      <c r="C386" s="3" t="str">
        <f>IF(COUNTIF(ciencia!$B:$B,$B386)&gt;0,"Sí","")</f>
        <v/>
      </c>
      <c r="D386" s="3" t="str">
        <f>IF(COUNTIF(ia!$B:$B,$B386)&gt;0,"Sí","")</f>
        <v/>
      </c>
      <c r="E386" s="3" t="str">
        <f>IF(COUNTIF(graficas!$B:$B,$B386)&gt;0,"Sí","")</f>
        <v>Sí</v>
      </c>
      <c r="F386" s="3">
        <f t="shared" si="10"/>
        <v>1</v>
      </c>
      <c r="G386" t="str">
        <f t="shared" si="11"/>
        <v>Gráficas</v>
      </c>
    </row>
    <row r="387" spans="1:7" x14ac:dyDescent="0.25">
      <c r="A387" t="s">
        <v>26</v>
      </c>
      <c r="B387" t="s">
        <v>27</v>
      </c>
      <c r="C387" s="3" t="str">
        <f>IF(COUNTIF(ciencia!$B:$B,$B387)&gt;0,"Sí","")</f>
        <v/>
      </c>
      <c r="D387" s="3" t="str">
        <f>IF(COUNTIF(ia!$B:$B,$B387)&gt;0,"Sí","")</f>
        <v/>
      </c>
      <c r="E387" s="3" t="str">
        <f>IF(COUNTIF(graficas!$B:$B,$B387)&gt;0,"Sí","")</f>
        <v>Sí</v>
      </c>
      <c r="F387" s="3">
        <f t="shared" ref="F387:F411" si="12">COUNTIF(C387:E387,"Sí")</f>
        <v>1</v>
      </c>
      <c r="G387" t="str">
        <f t="shared" ref="G387:G411" si="13">_xlfn.TEXTJOIN(", ",TRUE,IF(C387="Sí","Ciencia",""),IF(D387="Sí","IA",""),IF(E387="Sí","Gráficas",""))</f>
        <v>Gráficas</v>
      </c>
    </row>
    <row r="388" spans="1:7" x14ac:dyDescent="0.25">
      <c r="A388" t="s">
        <v>48</v>
      </c>
      <c r="B388" t="s">
        <v>49</v>
      </c>
      <c r="C388" s="3" t="str">
        <f>IF(COUNTIF(ciencia!$B:$B,$B388)&gt;0,"Sí","")</f>
        <v/>
      </c>
      <c r="D388" s="3" t="str">
        <f>IF(COUNTIF(ia!$B:$B,$B388)&gt;0,"Sí","")</f>
        <v/>
      </c>
      <c r="E388" s="3" t="str">
        <f>IF(COUNTIF(graficas!$B:$B,$B388)&gt;0,"Sí","")</f>
        <v>Sí</v>
      </c>
      <c r="F388" s="3">
        <f t="shared" si="12"/>
        <v>1</v>
      </c>
      <c r="G388" t="str">
        <f t="shared" si="13"/>
        <v>Gráficas</v>
      </c>
    </row>
    <row r="389" spans="1:7" x14ac:dyDescent="0.25">
      <c r="A389" t="s">
        <v>50</v>
      </c>
      <c r="B389" t="s">
        <v>51</v>
      </c>
      <c r="C389" s="3" t="str">
        <f>IF(COUNTIF(ciencia!$B:$B,$B389)&gt;0,"Sí","")</f>
        <v/>
      </c>
      <c r="D389" s="3" t="str">
        <f>IF(COUNTIF(ia!$B:$B,$B389)&gt;0,"Sí","")</f>
        <v/>
      </c>
      <c r="E389" s="3" t="str">
        <f>IF(COUNTIF(graficas!$B:$B,$B389)&gt;0,"Sí","")</f>
        <v>Sí</v>
      </c>
      <c r="F389" s="3">
        <f t="shared" si="12"/>
        <v>1</v>
      </c>
      <c r="G389" t="str">
        <f t="shared" si="13"/>
        <v>Gráficas</v>
      </c>
    </row>
    <row r="390" spans="1:7" x14ac:dyDescent="0.25">
      <c r="A390" t="s">
        <v>54</v>
      </c>
      <c r="B390" t="s">
        <v>55</v>
      </c>
      <c r="C390" s="3" t="str">
        <f>IF(COUNTIF(ciencia!$B:$B,$B390)&gt;0,"Sí","")</f>
        <v/>
      </c>
      <c r="D390" s="3" t="str">
        <f>IF(COUNTIF(ia!$B:$B,$B390)&gt;0,"Sí","")</f>
        <v/>
      </c>
      <c r="E390" s="3" t="str">
        <f>IF(COUNTIF(graficas!$B:$B,$B390)&gt;0,"Sí","")</f>
        <v>Sí</v>
      </c>
      <c r="F390" s="3">
        <f t="shared" si="12"/>
        <v>1</v>
      </c>
      <c r="G390" t="str">
        <f t="shared" si="13"/>
        <v>Gráficas</v>
      </c>
    </row>
    <row r="391" spans="1:7" x14ac:dyDescent="0.25">
      <c r="A391" t="s">
        <v>58</v>
      </c>
      <c r="B391" t="s">
        <v>59</v>
      </c>
      <c r="C391" s="3" t="str">
        <f>IF(COUNTIF(ciencia!$B:$B,$B391)&gt;0,"Sí","")</f>
        <v/>
      </c>
      <c r="D391" s="3" t="str">
        <f>IF(COUNTIF(ia!$B:$B,$B391)&gt;0,"Sí","")</f>
        <v/>
      </c>
      <c r="E391" s="3" t="str">
        <f>IF(COUNTIF(graficas!$B:$B,$B391)&gt;0,"Sí","")</f>
        <v>Sí</v>
      </c>
      <c r="F391" s="3">
        <f t="shared" si="12"/>
        <v>1</v>
      </c>
      <c r="G391" t="str">
        <f t="shared" si="13"/>
        <v>Gráficas</v>
      </c>
    </row>
    <row r="392" spans="1:7" x14ac:dyDescent="0.25">
      <c r="A392" t="s">
        <v>60</v>
      </c>
      <c r="B392" t="s">
        <v>61</v>
      </c>
      <c r="C392" s="3" t="str">
        <f>IF(COUNTIF(ciencia!$B:$B,$B392)&gt;0,"Sí","")</f>
        <v/>
      </c>
      <c r="D392" s="3" t="str">
        <f>IF(COUNTIF(ia!$B:$B,$B392)&gt;0,"Sí","")</f>
        <v/>
      </c>
      <c r="E392" s="3" t="str">
        <f>IF(COUNTIF(graficas!$B:$B,$B392)&gt;0,"Sí","")</f>
        <v>Sí</v>
      </c>
      <c r="F392" s="3">
        <f t="shared" si="12"/>
        <v>1</v>
      </c>
      <c r="G392" t="str">
        <f t="shared" si="13"/>
        <v>Gráficas</v>
      </c>
    </row>
    <row r="393" spans="1:7" x14ac:dyDescent="0.25">
      <c r="A393" t="s">
        <v>62</v>
      </c>
      <c r="B393" t="s">
        <v>63</v>
      </c>
      <c r="C393" s="3" t="str">
        <f>IF(COUNTIF(ciencia!$B:$B,$B393)&gt;0,"Sí","")</f>
        <v/>
      </c>
      <c r="D393" s="3" t="str">
        <f>IF(COUNTIF(ia!$B:$B,$B393)&gt;0,"Sí","")</f>
        <v/>
      </c>
      <c r="E393" s="3" t="str">
        <f>IF(COUNTIF(graficas!$B:$B,$B393)&gt;0,"Sí","")</f>
        <v>Sí</v>
      </c>
      <c r="F393" s="3">
        <f t="shared" si="12"/>
        <v>1</v>
      </c>
      <c r="G393" t="str">
        <f t="shared" si="13"/>
        <v>Gráficas</v>
      </c>
    </row>
    <row r="394" spans="1:7" x14ac:dyDescent="0.25">
      <c r="A394" t="s">
        <v>72</v>
      </c>
      <c r="B394" t="s">
        <v>73</v>
      </c>
      <c r="C394" s="3" t="str">
        <f>IF(COUNTIF(ciencia!$B:$B,$B394)&gt;0,"Sí","")</f>
        <v/>
      </c>
      <c r="D394" s="3" t="str">
        <f>IF(COUNTIF(ia!$B:$B,$B394)&gt;0,"Sí","")</f>
        <v/>
      </c>
      <c r="E394" s="3" t="str">
        <f>IF(COUNTIF(graficas!$B:$B,$B394)&gt;0,"Sí","")</f>
        <v>Sí</v>
      </c>
      <c r="F394" s="3">
        <f t="shared" si="12"/>
        <v>1</v>
      </c>
      <c r="G394" t="str">
        <f t="shared" si="13"/>
        <v>Gráficas</v>
      </c>
    </row>
    <row r="395" spans="1:7" x14ac:dyDescent="0.25">
      <c r="A395" t="s">
        <v>90</v>
      </c>
      <c r="B395" t="s">
        <v>91</v>
      </c>
      <c r="C395" s="3" t="str">
        <f>IF(COUNTIF(ciencia!$B:$B,$B395)&gt;0,"Sí","")</f>
        <v/>
      </c>
      <c r="D395" s="3" t="str">
        <f>IF(COUNTIF(ia!$B:$B,$B395)&gt;0,"Sí","")</f>
        <v/>
      </c>
      <c r="E395" s="3" t="str">
        <f>IF(COUNTIF(graficas!$B:$B,$B395)&gt;0,"Sí","")</f>
        <v>Sí</v>
      </c>
      <c r="F395" s="3">
        <f t="shared" si="12"/>
        <v>1</v>
      </c>
      <c r="G395" t="str">
        <f t="shared" si="13"/>
        <v>Gráficas</v>
      </c>
    </row>
    <row r="396" spans="1:7" x14ac:dyDescent="0.25">
      <c r="A396" t="s">
        <v>92</v>
      </c>
      <c r="B396" t="s">
        <v>93</v>
      </c>
      <c r="C396" s="3" t="str">
        <f>IF(COUNTIF(ciencia!$B:$B,$B396)&gt;0,"Sí","")</f>
        <v/>
      </c>
      <c r="D396" s="3" t="str">
        <f>IF(COUNTIF(ia!$B:$B,$B396)&gt;0,"Sí","")</f>
        <v/>
      </c>
      <c r="E396" s="3" t="str">
        <f>IF(COUNTIF(graficas!$B:$B,$B396)&gt;0,"Sí","")</f>
        <v>Sí</v>
      </c>
      <c r="F396" s="3">
        <f t="shared" si="12"/>
        <v>1</v>
      </c>
      <c r="G396" t="str">
        <f t="shared" si="13"/>
        <v>Gráficas</v>
      </c>
    </row>
    <row r="397" spans="1:7" x14ac:dyDescent="0.25">
      <c r="A397" t="s">
        <v>96</v>
      </c>
      <c r="B397" t="s">
        <v>97</v>
      </c>
      <c r="C397" s="3" t="str">
        <f>IF(COUNTIF(ciencia!$B:$B,$B397)&gt;0,"Sí","")</f>
        <v/>
      </c>
      <c r="D397" s="3" t="str">
        <f>IF(COUNTIF(ia!$B:$B,$B397)&gt;0,"Sí","")</f>
        <v/>
      </c>
      <c r="E397" s="3" t="str">
        <f>IF(COUNTIF(graficas!$B:$B,$B397)&gt;0,"Sí","")</f>
        <v>Sí</v>
      </c>
      <c r="F397" s="3">
        <f t="shared" si="12"/>
        <v>1</v>
      </c>
      <c r="G397" t="str">
        <f t="shared" si="13"/>
        <v>Gráficas</v>
      </c>
    </row>
    <row r="398" spans="1:7" x14ac:dyDescent="0.25">
      <c r="A398" t="s">
        <v>98</v>
      </c>
      <c r="B398" t="s">
        <v>99</v>
      </c>
      <c r="C398" s="3" t="str">
        <f>IF(COUNTIF(ciencia!$B:$B,$B398)&gt;0,"Sí","")</f>
        <v/>
      </c>
      <c r="D398" s="3" t="str">
        <f>IF(COUNTIF(ia!$B:$B,$B398)&gt;0,"Sí","")</f>
        <v/>
      </c>
      <c r="E398" s="3" t="str">
        <f>IF(COUNTIF(graficas!$B:$B,$B398)&gt;0,"Sí","")</f>
        <v>Sí</v>
      </c>
      <c r="F398" s="3">
        <f t="shared" si="12"/>
        <v>1</v>
      </c>
      <c r="G398" t="str">
        <f t="shared" si="13"/>
        <v>Gráficas</v>
      </c>
    </row>
    <row r="399" spans="1:7" x14ac:dyDescent="0.25">
      <c r="A399" t="s">
        <v>100</v>
      </c>
      <c r="B399" t="s">
        <v>101</v>
      </c>
      <c r="C399" s="3" t="str">
        <f>IF(COUNTIF(ciencia!$B:$B,$B399)&gt;0,"Sí","")</f>
        <v/>
      </c>
      <c r="D399" s="3" t="str">
        <f>IF(COUNTIF(ia!$B:$B,$B399)&gt;0,"Sí","")</f>
        <v/>
      </c>
      <c r="E399" s="3" t="str">
        <f>IF(COUNTIF(graficas!$B:$B,$B399)&gt;0,"Sí","")</f>
        <v>Sí</v>
      </c>
      <c r="F399" s="3">
        <f t="shared" si="12"/>
        <v>1</v>
      </c>
      <c r="G399" t="str">
        <f t="shared" si="13"/>
        <v>Gráficas</v>
      </c>
    </row>
    <row r="400" spans="1:7" x14ac:dyDescent="0.25">
      <c r="A400" t="s">
        <v>102</v>
      </c>
      <c r="B400" t="s">
        <v>103</v>
      </c>
      <c r="C400" s="3" t="str">
        <f>IF(COUNTIF(ciencia!$B:$B,$B400)&gt;0,"Sí","")</f>
        <v/>
      </c>
      <c r="D400" s="3" t="str">
        <f>IF(COUNTIF(ia!$B:$B,$B400)&gt;0,"Sí","")</f>
        <v/>
      </c>
      <c r="E400" s="3" t="str">
        <f>IF(COUNTIF(graficas!$B:$B,$B400)&gt;0,"Sí","")</f>
        <v>Sí</v>
      </c>
      <c r="F400" s="3">
        <f t="shared" si="12"/>
        <v>1</v>
      </c>
      <c r="G400" t="str">
        <f t="shared" si="13"/>
        <v>Gráficas</v>
      </c>
    </row>
    <row r="401" spans="1:7" x14ac:dyDescent="0.25">
      <c r="A401" t="s">
        <v>108</v>
      </c>
      <c r="B401" t="s">
        <v>109</v>
      </c>
      <c r="C401" s="3" t="str">
        <f>IF(COUNTIF(ciencia!$B:$B,$B401)&gt;0,"Sí","")</f>
        <v/>
      </c>
      <c r="D401" s="3" t="str">
        <f>IF(COUNTIF(ia!$B:$B,$B401)&gt;0,"Sí","")</f>
        <v/>
      </c>
      <c r="E401" s="3" t="str">
        <f>IF(COUNTIF(graficas!$B:$B,$B401)&gt;0,"Sí","")</f>
        <v>Sí</v>
      </c>
      <c r="F401" s="3">
        <f t="shared" si="12"/>
        <v>1</v>
      </c>
      <c r="G401" t="str">
        <f t="shared" si="13"/>
        <v>Gráficas</v>
      </c>
    </row>
    <row r="402" spans="1:7" x14ac:dyDescent="0.25">
      <c r="A402" t="s">
        <v>110</v>
      </c>
      <c r="B402" t="s">
        <v>111</v>
      </c>
      <c r="C402" s="3" t="str">
        <f>IF(COUNTIF(ciencia!$B:$B,$B402)&gt;0,"Sí","")</f>
        <v/>
      </c>
      <c r="D402" s="3" t="str">
        <f>IF(COUNTIF(ia!$B:$B,$B402)&gt;0,"Sí","")</f>
        <v/>
      </c>
      <c r="E402" s="3" t="str">
        <f>IF(COUNTIF(graficas!$B:$B,$B402)&gt;0,"Sí","")</f>
        <v>Sí</v>
      </c>
      <c r="F402" s="3">
        <f t="shared" si="12"/>
        <v>1</v>
      </c>
      <c r="G402" t="str">
        <f t="shared" si="13"/>
        <v>Gráficas</v>
      </c>
    </row>
    <row r="403" spans="1:7" x14ac:dyDescent="0.25">
      <c r="A403" t="s">
        <v>112</v>
      </c>
      <c r="B403" t="s">
        <v>113</v>
      </c>
      <c r="C403" s="3" t="str">
        <f>IF(COUNTIF(ciencia!$B:$B,$B403)&gt;0,"Sí","")</f>
        <v/>
      </c>
      <c r="D403" s="3" t="str">
        <f>IF(COUNTIF(ia!$B:$B,$B403)&gt;0,"Sí","")</f>
        <v/>
      </c>
      <c r="E403" s="3" t="str">
        <f>IF(COUNTIF(graficas!$B:$B,$B403)&gt;0,"Sí","")</f>
        <v>Sí</v>
      </c>
      <c r="F403" s="3">
        <f t="shared" si="12"/>
        <v>1</v>
      </c>
      <c r="G403" t="str">
        <f t="shared" si="13"/>
        <v>Gráficas</v>
      </c>
    </row>
    <row r="404" spans="1:7" x14ac:dyDescent="0.25">
      <c r="A404" t="s">
        <v>114</v>
      </c>
      <c r="B404" t="s">
        <v>115</v>
      </c>
      <c r="C404" s="3" t="str">
        <f>IF(COUNTIF(ciencia!$B:$B,$B404)&gt;0,"Sí","")</f>
        <v/>
      </c>
      <c r="D404" s="3" t="str">
        <f>IF(COUNTIF(ia!$B:$B,$B404)&gt;0,"Sí","")</f>
        <v/>
      </c>
      <c r="E404" s="3" t="str">
        <f>IF(COUNTIF(graficas!$B:$B,$B404)&gt;0,"Sí","")</f>
        <v>Sí</v>
      </c>
      <c r="F404" s="3">
        <f t="shared" si="12"/>
        <v>1</v>
      </c>
      <c r="G404" t="str">
        <f t="shared" si="13"/>
        <v>Gráficas</v>
      </c>
    </row>
    <row r="405" spans="1:7" x14ac:dyDescent="0.25">
      <c r="A405" t="s">
        <v>118</v>
      </c>
      <c r="B405" t="s">
        <v>119</v>
      </c>
      <c r="C405" s="3" t="str">
        <f>IF(COUNTIF(ciencia!$B:$B,$B405)&gt;0,"Sí","")</f>
        <v/>
      </c>
      <c r="D405" s="3" t="str">
        <f>IF(COUNTIF(ia!$B:$B,$B405)&gt;0,"Sí","")</f>
        <v/>
      </c>
      <c r="E405" s="3" t="str">
        <f>IF(COUNTIF(graficas!$B:$B,$B405)&gt;0,"Sí","")</f>
        <v>Sí</v>
      </c>
      <c r="F405" s="3">
        <f t="shared" si="12"/>
        <v>1</v>
      </c>
      <c r="G405" t="str">
        <f t="shared" si="13"/>
        <v>Gráficas</v>
      </c>
    </row>
    <row r="406" spans="1:7" x14ac:dyDescent="0.25">
      <c r="A406" t="s">
        <v>120</v>
      </c>
      <c r="B406" t="s">
        <v>121</v>
      </c>
      <c r="C406" s="3" t="str">
        <f>IF(COUNTIF(ciencia!$B:$B,$B406)&gt;0,"Sí","")</f>
        <v/>
      </c>
      <c r="D406" s="3" t="str">
        <f>IF(COUNTIF(ia!$B:$B,$B406)&gt;0,"Sí","")</f>
        <v/>
      </c>
      <c r="E406" s="3" t="str">
        <f>IF(COUNTIF(graficas!$B:$B,$B406)&gt;0,"Sí","")</f>
        <v>Sí</v>
      </c>
      <c r="F406" s="3">
        <f t="shared" si="12"/>
        <v>1</v>
      </c>
      <c r="G406" t="str">
        <f t="shared" si="13"/>
        <v>Gráficas</v>
      </c>
    </row>
    <row r="407" spans="1:7" x14ac:dyDescent="0.25">
      <c r="A407" t="s">
        <v>126</v>
      </c>
      <c r="B407" t="s">
        <v>127</v>
      </c>
      <c r="C407" s="3" t="str">
        <f>IF(COUNTIF(ciencia!$B:$B,$B407)&gt;0,"Sí","")</f>
        <v/>
      </c>
      <c r="D407" s="3" t="str">
        <f>IF(COUNTIF(ia!$B:$B,$B407)&gt;0,"Sí","")</f>
        <v/>
      </c>
      <c r="E407" s="3" t="str">
        <f>IF(COUNTIF(graficas!$B:$B,$B407)&gt;0,"Sí","")</f>
        <v>Sí</v>
      </c>
      <c r="F407" s="3">
        <f t="shared" si="12"/>
        <v>1</v>
      </c>
      <c r="G407" t="str">
        <f t="shared" si="13"/>
        <v>Gráficas</v>
      </c>
    </row>
    <row r="408" spans="1:7" x14ac:dyDescent="0.25">
      <c r="A408" t="s">
        <v>130</v>
      </c>
      <c r="B408" t="s">
        <v>131</v>
      </c>
      <c r="C408" s="3" t="str">
        <f>IF(COUNTIF(ciencia!$B:$B,$B408)&gt;0,"Sí","")</f>
        <v/>
      </c>
      <c r="D408" s="3" t="str">
        <f>IF(COUNTIF(ia!$B:$B,$B408)&gt;0,"Sí","")</f>
        <v/>
      </c>
      <c r="E408" s="3" t="str">
        <f>IF(COUNTIF(graficas!$B:$B,$B408)&gt;0,"Sí","")</f>
        <v>Sí</v>
      </c>
      <c r="F408" s="3">
        <f t="shared" si="12"/>
        <v>1</v>
      </c>
      <c r="G408" t="str">
        <f t="shared" si="13"/>
        <v>Gráficas</v>
      </c>
    </row>
    <row r="409" spans="1:7" x14ac:dyDescent="0.25">
      <c r="A409" t="s">
        <v>134</v>
      </c>
      <c r="B409" t="s">
        <v>135</v>
      </c>
      <c r="C409" s="3" t="str">
        <f>IF(COUNTIF(ciencia!$B:$B,$B409)&gt;0,"Sí","")</f>
        <v/>
      </c>
      <c r="D409" s="3" t="str">
        <f>IF(COUNTIF(ia!$B:$B,$B409)&gt;0,"Sí","")</f>
        <v/>
      </c>
      <c r="E409" s="3" t="str">
        <f>IF(COUNTIF(graficas!$B:$B,$B409)&gt;0,"Sí","")</f>
        <v>Sí</v>
      </c>
      <c r="F409" s="3">
        <f t="shared" si="12"/>
        <v>1</v>
      </c>
      <c r="G409" t="str">
        <f t="shared" si="13"/>
        <v>Gráficas</v>
      </c>
    </row>
    <row r="410" spans="1:7" x14ac:dyDescent="0.25">
      <c r="A410" t="s">
        <v>140</v>
      </c>
      <c r="B410" t="s">
        <v>141</v>
      </c>
      <c r="C410" s="3" t="str">
        <f>IF(COUNTIF(ciencia!$B:$B,$B410)&gt;0,"Sí","")</f>
        <v/>
      </c>
      <c r="D410" s="3" t="str">
        <f>IF(COUNTIF(ia!$B:$B,$B410)&gt;0,"Sí","")</f>
        <v/>
      </c>
      <c r="E410" s="3" t="str">
        <f>IF(COUNTIF(graficas!$B:$B,$B410)&gt;0,"Sí","")</f>
        <v>Sí</v>
      </c>
      <c r="F410" s="3">
        <f t="shared" si="12"/>
        <v>1</v>
      </c>
      <c r="G410" t="str">
        <f t="shared" si="13"/>
        <v>Gráficas</v>
      </c>
    </row>
    <row r="411" spans="1:7" x14ac:dyDescent="0.25">
      <c r="A411" t="s">
        <v>144</v>
      </c>
      <c r="B411" t="s">
        <v>145</v>
      </c>
      <c r="C411" s="3" t="str">
        <f>IF(COUNTIF(ciencia!$B:$B,$B411)&gt;0,"Sí","")</f>
        <v/>
      </c>
      <c r="D411" s="3" t="str">
        <f>IF(COUNTIF(ia!$B:$B,$B411)&gt;0,"Sí","")</f>
        <v/>
      </c>
      <c r="E411" s="3" t="str">
        <f>IF(COUNTIF(graficas!$B:$B,$B411)&gt;0,"Sí","")</f>
        <v>Sí</v>
      </c>
      <c r="F411" s="3">
        <f t="shared" si="12"/>
        <v>1</v>
      </c>
      <c r="G411" t="str">
        <f t="shared" si="13"/>
        <v>Gráficas</v>
      </c>
    </row>
  </sheetData>
  <autoFilter ref="A1:G411" xr:uid="{14F62E89-7F73-4061-B3C9-5DFFF8757F38}"/>
  <conditionalFormatting sqref="F2:F411">
    <cfRule type="cellIs" dxfId="0" priority="1" operator="greaterThanOrEqual">
      <formula>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550D-8C18-46DC-8791-14EF20D28B2E}">
  <dimension ref="A1:B304"/>
  <sheetViews>
    <sheetView workbookViewId="0">
      <selection activeCell="E21" sqref="E21"/>
    </sheetView>
  </sheetViews>
  <sheetFormatPr baseColWidth="10" defaultRowHeight="15" x14ac:dyDescent="0.25"/>
  <cols>
    <col min="1" max="1" width="36.140625" bestFit="1" customWidth="1"/>
    <col min="2" max="2" width="4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332</v>
      </c>
      <c r="B2" t="s">
        <v>333</v>
      </c>
    </row>
    <row r="3" spans="1:2" x14ac:dyDescent="0.25">
      <c r="A3" t="s">
        <v>334</v>
      </c>
      <c r="B3" t="s">
        <v>334</v>
      </c>
    </row>
    <row r="4" spans="1:2" x14ac:dyDescent="0.25">
      <c r="A4" t="s">
        <v>335</v>
      </c>
      <c r="B4" t="s">
        <v>336</v>
      </c>
    </row>
    <row r="5" spans="1:2" x14ac:dyDescent="0.25">
      <c r="A5" t="s">
        <v>190</v>
      </c>
      <c r="B5" t="s">
        <v>191</v>
      </c>
    </row>
    <row r="6" spans="1:2" x14ac:dyDescent="0.25">
      <c r="A6" t="s">
        <v>337</v>
      </c>
      <c r="B6" t="s">
        <v>338</v>
      </c>
    </row>
    <row r="7" spans="1:2" x14ac:dyDescent="0.25">
      <c r="A7" t="s">
        <v>339</v>
      </c>
      <c r="B7" t="s">
        <v>340</v>
      </c>
    </row>
    <row r="8" spans="1:2" x14ac:dyDescent="0.25">
      <c r="A8" t="s">
        <v>206</v>
      </c>
      <c r="B8" t="s">
        <v>207</v>
      </c>
    </row>
    <row r="9" spans="1:2" x14ac:dyDescent="0.25">
      <c r="A9" t="s">
        <v>220</v>
      </c>
      <c r="B9" t="s">
        <v>221</v>
      </c>
    </row>
    <row r="10" spans="1:2" x14ac:dyDescent="0.25">
      <c r="A10" t="s">
        <v>341</v>
      </c>
      <c r="B10" t="s">
        <v>342</v>
      </c>
    </row>
    <row r="11" spans="1:2" x14ac:dyDescent="0.25">
      <c r="A11" t="s">
        <v>343</v>
      </c>
      <c r="B11" t="s">
        <v>344</v>
      </c>
    </row>
    <row r="12" spans="1:2" x14ac:dyDescent="0.25">
      <c r="A12" t="s">
        <v>345</v>
      </c>
      <c r="B12" t="s">
        <v>346</v>
      </c>
    </row>
    <row r="13" spans="1:2" x14ac:dyDescent="0.25">
      <c r="A13" t="s">
        <v>347</v>
      </c>
      <c r="B13" t="s">
        <v>348</v>
      </c>
    </row>
    <row r="14" spans="1:2" x14ac:dyDescent="0.25">
      <c r="A14" t="s">
        <v>349</v>
      </c>
      <c r="B14" t="s">
        <v>350</v>
      </c>
    </row>
    <row r="15" spans="1:2" x14ac:dyDescent="0.25">
      <c r="A15" t="s">
        <v>351</v>
      </c>
      <c r="B15" t="s">
        <v>352</v>
      </c>
    </row>
    <row r="16" spans="1:2" x14ac:dyDescent="0.25">
      <c r="A16" t="s">
        <v>353</v>
      </c>
      <c r="B16" t="s">
        <v>354</v>
      </c>
    </row>
    <row r="17" spans="1:2" x14ac:dyDescent="0.25">
      <c r="A17" t="s">
        <v>355</v>
      </c>
      <c r="B17" t="s">
        <v>356</v>
      </c>
    </row>
    <row r="18" spans="1:2" x14ac:dyDescent="0.25">
      <c r="A18" t="s">
        <v>357</v>
      </c>
      <c r="B18" t="s">
        <v>358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359</v>
      </c>
      <c r="B20" t="s">
        <v>360</v>
      </c>
    </row>
    <row r="21" spans="1:2" x14ac:dyDescent="0.25">
      <c r="A21" t="s">
        <v>361</v>
      </c>
      <c r="B21" t="s">
        <v>362</v>
      </c>
    </row>
    <row r="22" spans="1:2" x14ac:dyDescent="0.25">
      <c r="A22" t="s">
        <v>363</v>
      </c>
      <c r="B22" t="s">
        <v>364</v>
      </c>
    </row>
    <row r="23" spans="1:2" x14ac:dyDescent="0.25">
      <c r="A23" t="s">
        <v>365</v>
      </c>
      <c r="B23" t="s">
        <v>366</v>
      </c>
    </row>
    <row r="24" spans="1:2" x14ac:dyDescent="0.25">
      <c r="A24" t="s">
        <v>367</v>
      </c>
      <c r="B24" t="s">
        <v>368</v>
      </c>
    </row>
    <row r="25" spans="1:2" x14ac:dyDescent="0.25">
      <c r="A25" t="s">
        <v>369</v>
      </c>
      <c r="B25" t="s">
        <v>370</v>
      </c>
    </row>
    <row r="26" spans="1:2" x14ac:dyDescent="0.25">
      <c r="A26" t="s">
        <v>371</v>
      </c>
      <c r="B26" t="s">
        <v>372</v>
      </c>
    </row>
    <row r="27" spans="1:2" x14ac:dyDescent="0.25">
      <c r="A27" t="s">
        <v>373</v>
      </c>
      <c r="B27" t="s">
        <v>374</v>
      </c>
    </row>
    <row r="28" spans="1:2" x14ac:dyDescent="0.25">
      <c r="A28" t="s">
        <v>361</v>
      </c>
      <c r="B28" t="s">
        <v>375</v>
      </c>
    </row>
    <row r="29" spans="1:2" x14ac:dyDescent="0.25">
      <c r="A29" t="s">
        <v>376</v>
      </c>
      <c r="B29" t="s">
        <v>377</v>
      </c>
    </row>
    <row r="30" spans="1:2" x14ac:dyDescent="0.25">
      <c r="A30" t="s">
        <v>378</v>
      </c>
      <c r="B30" t="s">
        <v>379</v>
      </c>
    </row>
    <row r="31" spans="1:2" x14ac:dyDescent="0.25">
      <c r="A31" t="s">
        <v>380</v>
      </c>
      <c r="B31" t="s">
        <v>381</v>
      </c>
    </row>
    <row r="32" spans="1:2" x14ac:dyDescent="0.25">
      <c r="A32" t="s">
        <v>258</v>
      </c>
      <c r="B32" t="s">
        <v>259</v>
      </c>
    </row>
    <row r="33" spans="1:2" x14ac:dyDescent="0.25">
      <c r="A33" t="s">
        <v>382</v>
      </c>
      <c r="B33" t="s">
        <v>383</v>
      </c>
    </row>
    <row r="34" spans="1:2" x14ac:dyDescent="0.25">
      <c r="A34" t="s">
        <v>384</v>
      </c>
      <c r="B34" t="s">
        <v>385</v>
      </c>
    </row>
    <row r="35" spans="1:2" x14ac:dyDescent="0.25">
      <c r="A35" t="s">
        <v>386</v>
      </c>
      <c r="B35" t="s">
        <v>387</v>
      </c>
    </row>
    <row r="36" spans="1:2" x14ac:dyDescent="0.25">
      <c r="A36" t="s">
        <v>388</v>
      </c>
      <c r="B36" t="s">
        <v>389</v>
      </c>
    </row>
    <row r="37" spans="1:2" x14ac:dyDescent="0.25">
      <c r="A37" t="s">
        <v>390</v>
      </c>
      <c r="B37" t="s">
        <v>391</v>
      </c>
    </row>
    <row r="38" spans="1:2" x14ac:dyDescent="0.25">
      <c r="A38" t="s">
        <v>392</v>
      </c>
      <c r="B38" t="s">
        <v>393</v>
      </c>
    </row>
    <row r="39" spans="1:2" x14ac:dyDescent="0.25">
      <c r="A39" t="s">
        <v>394</v>
      </c>
      <c r="B39" t="s">
        <v>395</v>
      </c>
    </row>
    <row r="40" spans="1:2" x14ac:dyDescent="0.25">
      <c r="A40" t="s">
        <v>396</v>
      </c>
      <c r="B40" t="s">
        <v>397</v>
      </c>
    </row>
    <row r="41" spans="1:2" x14ac:dyDescent="0.25">
      <c r="A41" t="s">
        <v>398</v>
      </c>
      <c r="B41" t="s">
        <v>399</v>
      </c>
    </row>
    <row r="42" spans="1:2" x14ac:dyDescent="0.25">
      <c r="A42" t="s">
        <v>400</v>
      </c>
      <c r="B42" t="s">
        <v>401</v>
      </c>
    </row>
    <row r="43" spans="1:2" x14ac:dyDescent="0.25">
      <c r="A43" t="s">
        <v>402</v>
      </c>
      <c r="B43" t="s">
        <v>403</v>
      </c>
    </row>
    <row r="44" spans="1:2" x14ac:dyDescent="0.25">
      <c r="A44" t="s">
        <v>404</v>
      </c>
      <c r="B44" t="s">
        <v>405</v>
      </c>
    </row>
    <row r="45" spans="1:2" x14ac:dyDescent="0.25">
      <c r="A45" t="s">
        <v>406</v>
      </c>
      <c r="B45" t="s">
        <v>407</v>
      </c>
    </row>
    <row r="46" spans="1:2" x14ac:dyDescent="0.25">
      <c r="A46" t="s">
        <v>408</v>
      </c>
      <c r="B46" t="s">
        <v>409</v>
      </c>
    </row>
    <row r="47" spans="1:2" x14ac:dyDescent="0.25">
      <c r="A47" t="s">
        <v>410</v>
      </c>
      <c r="B47" t="s">
        <v>411</v>
      </c>
    </row>
    <row r="48" spans="1:2" x14ac:dyDescent="0.25">
      <c r="A48" t="s">
        <v>412</v>
      </c>
      <c r="B48" t="s">
        <v>413</v>
      </c>
    </row>
    <row r="49" spans="1:2" x14ac:dyDescent="0.25">
      <c r="A49" t="s">
        <v>414</v>
      </c>
      <c r="B49" t="s">
        <v>415</v>
      </c>
    </row>
    <row r="50" spans="1:2" x14ac:dyDescent="0.25">
      <c r="A50" t="s">
        <v>416</v>
      </c>
      <c r="B50" t="s">
        <v>417</v>
      </c>
    </row>
    <row r="51" spans="1:2" x14ac:dyDescent="0.25">
      <c r="A51" t="s">
        <v>418</v>
      </c>
      <c r="B51" t="s">
        <v>419</v>
      </c>
    </row>
    <row r="52" spans="1:2" x14ac:dyDescent="0.25">
      <c r="A52" t="s">
        <v>420</v>
      </c>
      <c r="B52" t="s">
        <v>421</v>
      </c>
    </row>
    <row r="53" spans="1:2" x14ac:dyDescent="0.25">
      <c r="A53" t="s">
        <v>272</v>
      </c>
      <c r="B53" t="s">
        <v>422</v>
      </c>
    </row>
    <row r="54" spans="1:2" x14ac:dyDescent="0.25">
      <c r="A54" t="s">
        <v>423</v>
      </c>
      <c r="B54" t="s">
        <v>424</v>
      </c>
    </row>
    <row r="55" spans="1:2" x14ac:dyDescent="0.25">
      <c r="A55" t="s">
        <v>425</v>
      </c>
      <c r="B55" t="s">
        <v>426</v>
      </c>
    </row>
    <row r="56" spans="1:2" x14ac:dyDescent="0.25">
      <c r="A56" t="s">
        <v>20</v>
      </c>
      <c r="B56" t="s">
        <v>21</v>
      </c>
    </row>
    <row r="57" spans="1:2" x14ac:dyDescent="0.25">
      <c r="A57" t="s">
        <v>427</v>
      </c>
      <c r="B57" t="s">
        <v>428</v>
      </c>
    </row>
    <row r="58" spans="1:2" x14ac:dyDescent="0.25">
      <c r="A58" t="s">
        <v>429</v>
      </c>
      <c r="B58" t="s">
        <v>430</v>
      </c>
    </row>
    <row r="59" spans="1:2" x14ac:dyDescent="0.25">
      <c r="A59" t="s">
        <v>431</v>
      </c>
      <c r="B59" t="s">
        <v>432</v>
      </c>
    </row>
    <row r="60" spans="1:2" x14ac:dyDescent="0.25">
      <c r="A60" t="s">
        <v>433</v>
      </c>
      <c r="B60" t="s">
        <v>434</v>
      </c>
    </row>
    <row r="61" spans="1:2" x14ac:dyDescent="0.25">
      <c r="A61" t="s">
        <v>435</v>
      </c>
      <c r="B61" t="s">
        <v>436</v>
      </c>
    </row>
    <row r="62" spans="1:2" x14ac:dyDescent="0.25">
      <c r="A62" t="s">
        <v>437</v>
      </c>
      <c r="B62" t="s">
        <v>438</v>
      </c>
    </row>
    <row r="63" spans="1:2" x14ac:dyDescent="0.25">
      <c r="A63" t="s">
        <v>439</v>
      </c>
      <c r="B63" t="s">
        <v>440</v>
      </c>
    </row>
    <row r="64" spans="1:2" x14ac:dyDescent="0.25">
      <c r="A64" t="s">
        <v>441</v>
      </c>
      <c r="B64" t="s">
        <v>442</v>
      </c>
    </row>
    <row r="65" spans="1:2" x14ac:dyDescent="0.25">
      <c r="A65" t="s">
        <v>443</v>
      </c>
      <c r="B65" t="s">
        <v>444</v>
      </c>
    </row>
    <row r="66" spans="1:2" x14ac:dyDescent="0.25">
      <c r="A66" t="s">
        <v>445</v>
      </c>
      <c r="B66" t="s">
        <v>446</v>
      </c>
    </row>
    <row r="67" spans="1:2" x14ac:dyDescent="0.25">
      <c r="A67" t="s">
        <v>447</v>
      </c>
      <c r="B67" t="s">
        <v>448</v>
      </c>
    </row>
    <row r="68" spans="1:2" x14ac:dyDescent="0.25">
      <c r="A68" t="s">
        <v>449</v>
      </c>
      <c r="B68" t="s">
        <v>450</v>
      </c>
    </row>
    <row r="69" spans="1:2" x14ac:dyDescent="0.25">
      <c r="A69" t="s">
        <v>451</v>
      </c>
      <c r="B69" t="s">
        <v>452</v>
      </c>
    </row>
    <row r="70" spans="1:2" x14ac:dyDescent="0.25">
      <c r="A70" t="s">
        <v>212</v>
      </c>
      <c r="B70" t="s">
        <v>213</v>
      </c>
    </row>
    <row r="71" spans="1:2" x14ac:dyDescent="0.25">
      <c r="A71" t="s">
        <v>453</v>
      </c>
      <c r="B71" t="s">
        <v>454</v>
      </c>
    </row>
    <row r="72" spans="1:2" x14ac:dyDescent="0.25">
      <c r="A72" t="s">
        <v>104</v>
      </c>
      <c r="B72" t="s">
        <v>105</v>
      </c>
    </row>
    <row r="73" spans="1:2" x14ac:dyDescent="0.25">
      <c r="A73" t="s">
        <v>216</v>
      </c>
      <c r="B73" t="s">
        <v>217</v>
      </c>
    </row>
    <row r="74" spans="1:2" x14ac:dyDescent="0.25">
      <c r="A74" t="s">
        <v>402</v>
      </c>
      <c r="B74" t="s">
        <v>455</v>
      </c>
    </row>
    <row r="75" spans="1:2" x14ac:dyDescent="0.25">
      <c r="A75" t="s">
        <v>456</v>
      </c>
      <c r="B75" t="s">
        <v>457</v>
      </c>
    </row>
    <row r="76" spans="1:2" x14ac:dyDescent="0.25">
      <c r="A76" t="s">
        <v>458</v>
      </c>
      <c r="B76" t="s">
        <v>459</v>
      </c>
    </row>
    <row r="77" spans="1:2" x14ac:dyDescent="0.25">
      <c r="A77" t="s">
        <v>460</v>
      </c>
      <c r="B77" t="s">
        <v>461</v>
      </c>
    </row>
    <row r="78" spans="1:2" x14ac:dyDescent="0.25">
      <c r="A78" t="s">
        <v>462</v>
      </c>
      <c r="B78" t="s">
        <v>463</v>
      </c>
    </row>
    <row r="79" spans="1:2" x14ac:dyDescent="0.25">
      <c r="A79" t="s">
        <v>464</v>
      </c>
      <c r="B79" t="s">
        <v>465</v>
      </c>
    </row>
    <row r="80" spans="1:2" x14ac:dyDescent="0.25">
      <c r="A80" t="s">
        <v>466</v>
      </c>
      <c r="B80" t="s">
        <v>467</v>
      </c>
    </row>
    <row r="81" spans="1:2" x14ac:dyDescent="0.25">
      <c r="A81" t="s">
        <v>468</v>
      </c>
      <c r="B81" t="s">
        <v>469</v>
      </c>
    </row>
    <row r="82" spans="1:2" x14ac:dyDescent="0.25">
      <c r="A82" t="s">
        <v>470</v>
      </c>
      <c r="B82" t="s">
        <v>471</v>
      </c>
    </row>
    <row r="83" spans="1:2" x14ac:dyDescent="0.25">
      <c r="A83" t="s">
        <v>472</v>
      </c>
      <c r="B83" t="s">
        <v>473</v>
      </c>
    </row>
    <row r="84" spans="1:2" x14ac:dyDescent="0.25">
      <c r="A84" t="s">
        <v>242</v>
      </c>
      <c r="B84" t="s">
        <v>243</v>
      </c>
    </row>
    <row r="85" spans="1:2" x14ac:dyDescent="0.25">
      <c r="A85" t="s">
        <v>474</v>
      </c>
      <c r="B85" t="s">
        <v>475</v>
      </c>
    </row>
    <row r="86" spans="1:2" x14ac:dyDescent="0.25">
      <c r="A86" t="s">
        <v>476</v>
      </c>
      <c r="B86" t="s">
        <v>477</v>
      </c>
    </row>
    <row r="87" spans="1:2" x14ac:dyDescent="0.25">
      <c r="A87" t="s">
        <v>116</v>
      </c>
      <c r="B87" t="s">
        <v>117</v>
      </c>
    </row>
    <row r="88" spans="1:2" x14ac:dyDescent="0.25">
      <c r="A88" t="s">
        <v>478</v>
      </c>
      <c r="B88" t="s">
        <v>479</v>
      </c>
    </row>
    <row r="89" spans="1:2" x14ac:dyDescent="0.25">
      <c r="A89" t="s">
        <v>480</v>
      </c>
      <c r="B89" t="s">
        <v>481</v>
      </c>
    </row>
    <row r="90" spans="1:2" x14ac:dyDescent="0.25">
      <c r="A90" t="s">
        <v>482</v>
      </c>
      <c r="B90" t="s">
        <v>483</v>
      </c>
    </row>
    <row r="91" spans="1:2" x14ac:dyDescent="0.25">
      <c r="A91" t="s">
        <v>484</v>
      </c>
      <c r="B91" t="s">
        <v>485</v>
      </c>
    </row>
    <row r="92" spans="1:2" x14ac:dyDescent="0.25">
      <c r="A92" t="s">
        <v>486</v>
      </c>
      <c r="B92" t="s">
        <v>487</v>
      </c>
    </row>
    <row r="93" spans="1:2" x14ac:dyDescent="0.25">
      <c r="A93" t="s">
        <v>70</v>
      </c>
      <c r="B93" t="s">
        <v>71</v>
      </c>
    </row>
    <row r="94" spans="1:2" x14ac:dyDescent="0.25">
      <c r="A94" t="s">
        <v>488</v>
      </c>
      <c r="B94" t="s">
        <v>489</v>
      </c>
    </row>
    <row r="95" spans="1:2" x14ac:dyDescent="0.25">
      <c r="A95" t="s">
        <v>490</v>
      </c>
      <c r="B95" t="s">
        <v>491</v>
      </c>
    </row>
    <row r="96" spans="1:2" x14ac:dyDescent="0.25">
      <c r="A96" t="s">
        <v>492</v>
      </c>
      <c r="B96" t="s">
        <v>493</v>
      </c>
    </row>
    <row r="97" spans="1:2" x14ac:dyDescent="0.25">
      <c r="A97" t="s">
        <v>28</v>
      </c>
      <c r="B97" t="s">
        <v>29</v>
      </c>
    </row>
    <row r="98" spans="1:2" x14ac:dyDescent="0.25">
      <c r="A98" t="s">
        <v>494</v>
      </c>
      <c r="B98" t="s">
        <v>495</v>
      </c>
    </row>
    <row r="99" spans="1:2" x14ac:dyDescent="0.25">
      <c r="A99" t="s">
        <v>32</v>
      </c>
      <c r="B99" t="s">
        <v>33</v>
      </c>
    </row>
    <row r="100" spans="1:2" x14ac:dyDescent="0.25">
      <c r="A100" t="s">
        <v>496</v>
      </c>
      <c r="B100" t="s">
        <v>497</v>
      </c>
    </row>
    <row r="101" spans="1:2" x14ac:dyDescent="0.25">
      <c r="A101" t="s">
        <v>498</v>
      </c>
      <c r="B101" t="s">
        <v>499</v>
      </c>
    </row>
    <row r="102" spans="1:2" x14ac:dyDescent="0.25">
      <c r="A102" t="s">
        <v>500</v>
      </c>
      <c r="B102" t="s">
        <v>501</v>
      </c>
    </row>
    <row r="103" spans="1:2" x14ac:dyDescent="0.25">
      <c r="A103" t="s">
        <v>502</v>
      </c>
      <c r="B103" t="s">
        <v>503</v>
      </c>
    </row>
    <row r="104" spans="1:2" x14ac:dyDescent="0.25">
      <c r="A104" t="s">
        <v>504</v>
      </c>
      <c r="B104" t="s">
        <v>505</v>
      </c>
    </row>
    <row r="105" spans="1:2" x14ac:dyDescent="0.25">
      <c r="A105" t="s">
        <v>506</v>
      </c>
      <c r="B105" t="s">
        <v>507</v>
      </c>
    </row>
    <row r="106" spans="1:2" x14ac:dyDescent="0.25">
      <c r="A106" t="s">
        <v>508</v>
      </c>
      <c r="B106" t="s">
        <v>509</v>
      </c>
    </row>
    <row r="107" spans="1:2" x14ac:dyDescent="0.25">
      <c r="A107" t="s">
        <v>510</v>
      </c>
      <c r="B107" t="s">
        <v>511</v>
      </c>
    </row>
    <row r="108" spans="1:2" x14ac:dyDescent="0.25">
      <c r="A108" t="s">
        <v>512</v>
      </c>
      <c r="B108" t="s">
        <v>513</v>
      </c>
    </row>
    <row r="109" spans="1:2" x14ac:dyDescent="0.25">
      <c r="A109" t="s">
        <v>514</v>
      </c>
      <c r="B109" t="s">
        <v>515</v>
      </c>
    </row>
    <row r="110" spans="1:2" x14ac:dyDescent="0.25">
      <c r="A110" t="s">
        <v>516</v>
      </c>
      <c r="B110" t="s">
        <v>517</v>
      </c>
    </row>
    <row r="111" spans="1:2" x14ac:dyDescent="0.25">
      <c r="A111" t="s">
        <v>518</v>
      </c>
      <c r="B111" t="s">
        <v>519</v>
      </c>
    </row>
    <row r="112" spans="1:2" x14ac:dyDescent="0.25">
      <c r="A112" t="s">
        <v>520</v>
      </c>
      <c r="B112" t="s">
        <v>521</v>
      </c>
    </row>
    <row r="113" spans="1:2" x14ac:dyDescent="0.25">
      <c r="A113" t="s">
        <v>522</v>
      </c>
      <c r="B113" t="s">
        <v>523</v>
      </c>
    </row>
    <row r="114" spans="1:2" x14ac:dyDescent="0.25">
      <c r="A114" t="s">
        <v>524</v>
      </c>
      <c r="B114" t="s">
        <v>525</v>
      </c>
    </row>
    <row r="115" spans="1:2" x14ac:dyDescent="0.25">
      <c r="A115" t="s">
        <v>526</v>
      </c>
      <c r="B115" t="s">
        <v>527</v>
      </c>
    </row>
    <row r="116" spans="1:2" x14ac:dyDescent="0.25">
      <c r="A116" t="s">
        <v>528</v>
      </c>
      <c r="B116" t="s">
        <v>529</v>
      </c>
    </row>
    <row r="117" spans="1:2" x14ac:dyDescent="0.25">
      <c r="A117" t="s">
        <v>226</v>
      </c>
      <c r="B117" t="s">
        <v>227</v>
      </c>
    </row>
    <row r="118" spans="1:2" x14ac:dyDescent="0.25">
      <c r="A118" t="s">
        <v>530</v>
      </c>
      <c r="B118" t="s">
        <v>531</v>
      </c>
    </row>
    <row r="119" spans="1:2" x14ac:dyDescent="0.25">
      <c r="A119" t="s">
        <v>532</v>
      </c>
      <c r="B119" t="s">
        <v>533</v>
      </c>
    </row>
    <row r="120" spans="1:2" x14ac:dyDescent="0.25">
      <c r="A120" t="s">
        <v>534</v>
      </c>
      <c r="B120" t="s">
        <v>535</v>
      </c>
    </row>
    <row r="121" spans="1:2" x14ac:dyDescent="0.25">
      <c r="A121" t="s">
        <v>536</v>
      </c>
      <c r="B121" t="s">
        <v>537</v>
      </c>
    </row>
    <row r="122" spans="1:2" x14ac:dyDescent="0.25">
      <c r="A122" t="s">
        <v>538</v>
      </c>
      <c r="B122" t="s">
        <v>539</v>
      </c>
    </row>
    <row r="123" spans="1:2" x14ac:dyDescent="0.25">
      <c r="A123" t="s">
        <v>64</v>
      </c>
      <c r="B123" t="s">
        <v>65</v>
      </c>
    </row>
    <row r="124" spans="1:2" x14ac:dyDescent="0.25">
      <c r="A124" t="s">
        <v>300</v>
      </c>
      <c r="B124" t="s">
        <v>301</v>
      </c>
    </row>
    <row r="125" spans="1:2" x14ac:dyDescent="0.25">
      <c r="A125" t="s">
        <v>540</v>
      </c>
      <c r="B125" t="s">
        <v>541</v>
      </c>
    </row>
    <row r="126" spans="1:2" x14ac:dyDescent="0.25">
      <c r="A126" t="s">
        <v>542</v>
      </c>
      <c r="B126" t="s">
        <v>543</v>
      </c>
    </row>
    <row r="127" spans="1:2" x14ac:dyDescent="0.25">
      <c r="A127" t="s">
        <v>290</v>
      </c>
      <c r="B127" t="s">
        <v>291</v>
      </c>
    </row>
    <row r="128" spans="1:2" x14ac:dyDescent="0.25">
      <c r="A128" t="s">
        <v>218</v>
      </c>
      <c r="B128" t="s">
        <v>219</v>
      </c>
    </row>
    <row r="129" spans="1:2" x14ac:dyDescent="0.25">
      <c r="A129" t="s">
        <v>544</v>
      </c>
      <c r="B129" t="s">
        <v>545</v>
      </c>
    </row>
    <row r="130" spans="1:2" x14ac:dyDescent="0.25">
      <c r="A130" t="s">
        <v>546</v>
      </c>
      <c r="B130" t="s">
        <v>547</v>
      </c>
    </row>
    <row r="131" spans="1:2" x14ac:dyDescent="0.25">
      <c r="A131" t="s">
        <v>548</v>
      </c>
      <c r="B131" t="s">
        <v>549</v>
      </c>
    </row>
    <row r="132" spans="1:2" x14ac:dyDescent="0.25">
      <c r="A132" t="s">
        <v>550</v>
      </c>
      <c r="B132" t="s">
        <v>551</v>
      </c>
    </row>
    <row r="133" spans="1:2" x14ac:dyDescent="0.25">
      <c r="A133" t="s">
        <v>552</v>
      </c>
      <c r="B133" t="s">
        <v>553</v>
      </c>
    </row>
    <row r="134" spans="1:2" x14ac:dyDescent="0.25">
      <c r="A134" t="s">
        <v>554</v>
      </c>
      <c r="B134" t="s">
        <v>555</v>
      </c>
    </row>
    <row r="135" spans="1:2" x14ac:dyDescent="0.25">
      <c r="A135" t="s">
        <v>42</v>
      </c>
      <c r="B135" t="s">
        <v>43</v>
      </c>
    </row>
    <row r="136" spans="1:2" x14ac:dyDescent="0.25">
      <c r="A136" t="s">
        <v>556</v>
      </c>
      <c r="B136" t="s">
        <v>557</v>
      </c>
    </row>
    <row r="137" spans="1:2" x14ac:dyDescent="0.25">
      <c r="A137" t="s">
        <v>558</v>
      </c>
      <c r="B137" t="s">
        <v>559</v>
      </c>
    </row>
    <row r="138" spans="1:2" x14ac:dyDescent="0.25">
      <c r="A138" t="s">
        <v>560</v>
      </c>
      <c r="B138" t="s">
        <v>561</v>
      </c>
    </row>
    <row r="139" spans="1:2" x14ac:dyDescent="0.25">
      <c r="A139" t="s">
        <v>562</v>
      </c>
      <c r="B139" t="s">
        <v>563</v>
      </c>
    </row>
    <row r="140" spans="1:2" x14ac:dyDescent="0.25">
      <c r="A140" t="s">
        <v>564</v>
      </c>
      <c r="B140" t="s">
        <v>565</v>
      </c>
    </row>
    <row r="141" spans="1:2" x14ac:dyDescent="0.25">
      <c r="A141" t="s">
        <v>566</v>
      </c>
      <c r="B141" t="s">
        <v>567</v>
      </c>
    </row>
    <row r="142" spans="1:2" x14ac:dyDescent="0.25">
      <c r="A142" t="s">
        <v>204</v>
      </c>
      <c r="B142" t="s">
        <v>205</v>
      </c>
    </row>
    <row r="143" spans="1:2" x14ac:dyDescent="0.25">
      <c r="A143" t="s">
        <v>568</v>
      </c>
      <c r="B143" t="s">
        <v>569</v>
      </c>
    </row>
    <row r="144" spans="1:2" x14ac:dyDescent="0.25">
      <c r="A144" t="s">
        <v>164</v>
      </c>
      <c r="B144" t="s">
        <v>570</v>
      </c>
    </row>
    <row r="145" spans="1:2" x14ac:dyDescent="0.25">
      <c r="A145" t="s">
        <v>571</v>
      </c>
      <c r="B145" t="s">
        <v>572</v>
      </c>
    </row>
    <row r="146" spans="1:2" x14ac:dyDescent="0.25">
      <c r="A146" t="s">
        <v>40</v>
      </c>
      <c r="B146" t="s">
        <v>41</v>
      </c>
    </row>
    <row r="147" spans="1:2" x14ac:dyDescent="0.25">
      <c r="A147" t="s">
        <v>16</v>
      </c>
      <c r="B147" t="s">
        <v>17</v>
      </c>
    </row>
    <row r="148" spans="1:2" x14ac:dyDescent="0.25">
      <c r="A148" t="s">
        <v>573</v>
      </c>
      <c r="B148" t="s">
        <v>574</v>
      </c>
    </row>
    <row r="149" spans="1:2" x14ac:dyDescent="0.25">
      <c r="A149" t="s">
        <v>575</v>
      </c>
      <c r="B149" t="s">
        <v>576</v>
      </c>
    </row>
    <row r="150" spans="1:2" x14ac:dyDescent="0.25">
      <c r="A150" t="s">
        <v>577</v>
      </c>
      <c r="B150" t="s">
        <v>578</v>
      </c>
    </row>
    <row r="151" spans="1:2" x14ac:dyDescent="0.25">
      <c r="A151" t="s">
        <v>579</v>
      </c>
      <c r="B151" t="s">
        <v>580</v>
      </c>
    </row>
    <row r="152" spans="1:2" x14ac:dyDescent="0.25">
      <c r="A152" t="s">
        <v>581</v>
      </c>
      <c r="B152" t="s">
        <v>582</v>
      </c>
    </row>
    <row r="153" spans="1:2" x14ac:dyDescent="0.25">
      <c r="A153" t="s">
        <v>583</v>
      </c>
      <c r="B153" t="s">
        <v>584</v>
      </c>
    </row>
    <row r="154" spans="1:2" x14ac:dyDescent="0.25">
      <c r="A154" t="s">
        <v>106</v>
      </c>
      <c r="B154" t="s">
        <v>107</v>
      </c>
    </row>
    <row r="155" spans="1:2" x14ac:dyDescent="0.25">
      <c r="A155" t="s">
        <v>585</v>
      </c>
      <c r="B155" t="s">
        <v>586</v>
      </c>
    </row>
    <row r="156" spans="1:2" x14ac:dyDescent="0.25">
      <c r="A156" t="s">
        <v>44</v>
      </c>
      <c r="B156" t="s">
        <v>45</v>
      </c>
    </row>
    <row r="157" spans="1:2" x14ac:dyDescent="0.25">
      <c r="A157" t="s">
        <v>587</v>
      </c>
      <c r="B157" t="s">
        <v>588</v>
      </c>
    </row>
    <row r="158" spans="1:2" x14ac:dyDescent="0.25">
      <c r="A158" t="s">
        <v>46</v>
      </c>
      <c r="B158" t="s">
        <v>47</v>
      </c>
    </row>
    <row r="159" spans="1:2" x14ac:dyDescent="0.25">
      <c r="A159" t="s">
        <v>589</v>
      </c>
      <c r="B159" t="s">
        <v>590</v>
      </c>
    </row>
    <row r="160" spans="1:2" x14ac:dyDescent="0.25">
      <c r="A160" t="s">
        <v>591</v>
      </c>
      <c r="B160" t="s">
        <v>592</v>
      </c>
    </row>
    <row r="161" spans="1:2" x14ac:dyDescent="0.25">
      <c r="A161" t="s">
        <v>593</v>
      </c>
      <c r="B161" t="s">
        <v>594</v>
      </c>
    </row>
    <row r="162" spans="1:2" x14ac:dyDescent="0.25">
      <c r="A162" t="s">
        <v>595</v>
      </c>
      <c r="B162" t="s">
        <v>596</v>
      </c>
    </row>
    <row r="163" spans="1:2" x14ac:dyDescent="0.25">
      <c r="A163" t="s">
        <v>597</v>
      </c>
      <c r="B163" t="s">
        <v>598</v>
      </c>
    </row>
    <row r="164" spans="1:2" x14ac:dyDescent="0.25">
      <c r="A164" t="s">
        <v>599</v>
      </c>
      <c r="B164" t="s">
        <v>600</v>
      </c>
    </row>
    <row r="165" spans="1:2" x14ac:dyDescent="0.25">
      <c r="A165" t="s">
        <v>601</v>
      </c>
      <c r="B165" t="s">
        <v>602</v>
      </c>
    </row>
    <row r="166" spans="1:2" x14ac:dyDescent="0.25">
      <c r="A166" t="s">
        <v>603</v>
      </c>
      <c r="B166" t="s">
        <v>604</v>
      </c>
    </row>
    <row r="167" spans="1:2" x14ac:dyDescent="0.25">
      <c r="A167" t="s">
        <v>30</v>
      </c>
      <c r="B167" t="s">
        <v>31</v>
      </c>
    </row>
    <row r="168" spans="1:2" x14ac:dyDescent="0.25">
      <c r="A168" t="s">
        <v>605</v>
      </c>
      <c r="B168" t="s">
        <v>606</v>
      </c>
    </row>
    <row r="169" spans="1:2" x14ac:dyDescent="0.25">
      <c r="A169" t="s">
        <v>607</v>
      </c>
      <c r="B169" t="s">
        <v>608</v>
      </c>
    </row>
    <row r="170" spans="1:2" x14ac:dyDescent="0.25">
      <c r="A170" t="s">
        <v>56</v>
      </c>
      <c r="B170" t="s">
        <v>57</v>
      </c>
    </row>
    <row r="171" spans="1:2" x14ac:dyDescent="0.25">
      <c r="A171" t="s">
        <v>68</v>
      </c>
      <c r="B171" t="s">
        <v>69</v>
      </c>
    </row>
    <row r="172" spans="1:2" x14ac:dyDescent="0.25">
      <c r="A172" t="s">
        <v>609</v>
      </c>
      <c r="B172" t="s">
        <v>610</v>
      </c>
    </row>
    <row r="173" spans="1:2" x14ac:dyDescent="0.25">
      <c r="A173" t="s">
        <v>611</v>
      </c>
      <c r="B173" t="s">
        <v>612</v>
      </c>
    </row>
    <row r="174" spans="1:2" x14ac:dyDescent="0.25">
      <c r="A174" t="s">
        <v>78</v>
      </c>
      <c r="B174" t="s">
        <v>79</v>
      </c>
    </row>
    <row r="175" spans="1:2" x14ac:dyDescent="0.25">
      <c r="A175" t="s">
        <v>412</v>
      </c>
      <c r="B175" t="s">
        <v>613</v>
      </c>
    </row>
    <row r="176" spans="1:2" x14ac:dyDescent="0.25">
      <c r="A176" t="s">
        <v>614</v>
      </c>
      <c r="B176" t="s">
        <v>615</v>
      </c>
    </row>
    <row r="177" spans="1:2" x14ac:dyDescent="0.25">
      <c r="A177" t="s">
        <v>80</v>
      </c>
      <c r="B177" t="s">
        <v>81</v>
      </c>
    </row>
    <row r="178" spans="1:2" x14ac:dyDescent="0.25">
      <c r="A178" t="s">
        <v>168</v>
      </c>
      <c r="B178" t="s">
        <v>169</v>
      </c>
    </row>
    <row r="179" spans="1:2" x14ac:dyDescent="0.25">
      <c r="A179" t="s">
        <v>82</v>
      </c>
      <c r="B179" t="s">
        <v>83</v>
      </c>
    </row>
    <row r="180" spans="1:2" x14ac:dyDescent="0.25">
      <c r="A180" t="s">
        <v>616</v>
      </c>
      <c r="B180" t="s">
        <v>617</v>
      </c>
    </row>
    <row r="181" spans="1:2" x14ac:dyDescent="0.25">
      <c r="A181" t="s">
        <v>618</v>
      </c>
      <c r="B181" t="s">
        <v>619</v>
      </c>
    </row>
    <row r="182" spans="1:2" x14ac:dyDescent="0.25">
      <c r="A182" t="s">
        <v>620</v>
      </c>
      <c r="B182" t="s">
        <v>621</v>
      </c>
    </row>
    <row r="183" spans="1:2" x14ac:dyDescent="0.25">
      <c r="A183" t="s">
        <v>622</v>
      </c>
      <c r="B183" t="s">
        <v>623</v>
      </c>
    </row>
    <row r="184" spans="1:2" x14ac:dyDescent="0.25">
      <c r="A184" t="s">
        <v>624</v>
      </c>
      <c r="B184" t="s">
        <v>625</v>
      </c>
    </row>
    <row r="185" spans="1:2" x14ac:dyDescent="0.25">
      <c r="A185" t="s">
        <v>626</v>
      </c>
      <c r="B185" t="s">
        <v>627</v>
      </c>
    </row>
    <row r="186" spans="1:2" x14ac:dyDescent="0.25">
      <c r="A186" t="s">
        <v>628</v>
      </c>
      <c r="B186" t="s">
        <v>629</v>
      </c>
    </row>
    <row r="187" spans="1:2" x14ac:dyDescent="0.25">
      <c r="A187" t="s">
        <v>86</v>
      </c>
      <c r="B187" t="s">
        <v>87</v>
      </c>
    </row>
    <row r="188" spans="1:2" x14ac:dyDescent="0.25">
      <c r="A188" t="s">
        <v>630</v>
      </c>
      <c r="B188" t="s">
        <v>631</v>
      </c>
    </row>
    <row r="189" spans="1:2" x14ac:dyDescent="0.25">
      <c r="A189" t="s">
        <v>88</v>
      </c>
      <c r="B189" t="s">
        <v>89</v>
      </c>
    </row>
    <row r="190" spans="1:2" x14ac:dyDescent="0.25">
      <c r="A190" t="s">
        <v>632</v>
      </c>
      <c r="B190" t="s">
        <v>633</v>
      </c>
    </row>
    <row r="191" spans="1:2" x14ac:dyDescent="0.25">
      <c r="A191" t="s">
        <v>634</v>
      </c>
      <c r="B191" t="s">
        <v>635</v>
      </c>
    </row>
    <row r="192" spans="1:2" x14ac:dyDescent="0.25">
      <c r="A192" t="s">
        <v>636</v>
      </c>
      <c r="B192" t="s">
        <v>637</v>
      </c>
    </row>
    <row r="193" spans="1:2" x14ac:dyDescent="0.25">
      <c r="A193" t="s">
        <v>94</v>
      </c>
      <c r="B193" t="s">
        <v>95</v>
      </c>
    </row>
    <row r="194" spans="1:2" x14ac:dyDescent="0.25">
      <c r="A194" t="s">
        <v>638</v>
      </c>
      <c r="B194" t="s">
        <v>639</v>
      </c>
    </row>
    <row r="195" spans="1:2" x14ac:dyDescent="0.25">
      <c r="A195" t="s">
        <v>640</v>
      </c>
      <c r="B195" t="s">
        <v>641</v>
      </c>
    </row>
    <row r="196" spans="1:2" x14ac:dyDescent="0.25">
      <c r="A196" t="s">
        <v>642</v>
      </c>
      <c r="B196" t="s">
        <v>643</v>
      </c>
    </row>
    <row r="197" spans="1:2" x14ac:dyDescent="0.25">
      <c r="A197" t="s">
        <v>644</v>
      </c>
      <c r="B197" t="s">
        <v>645</v>
      </c>
    </row>
    <row r="198" spans="1:2" x14ac:dyDescent="0.25">
      <c r="A198" t="s">
        <v>198</v>
      </c>
      <c r="B198" t="s">
        <v>199</v>
      </c>
    </row>
    <row r="199" spans="1:2" x14ac:dyDescent="0.25">
      <c r="A199" t="s">
        <v>646</v>
      </c>
      <c r="B199" t="s">
        <v>647</v>
      </c>
    </row>
    <row r="200" spans="1:2" x14ac:dyDescent="0.25">
      <c r="A200" t="s">
        <v>648</v>
      </c>
      <c r="B200" t="s">
        <v>649</v>
      </c>
    </row>
    <row r="201" spans="1:2" x14ac:dyDescent="0.25">
      <c r="A201" t="s">
        <v>650</v>
      </c>
      <c r="B201" t="s">
        <v>651</v>
      </c>
    </row>
    <row r="202" spans="1:2" x14ac:dyDescent="0.25">
      <c r="A202" t="s">
        <v>652</v>
      </c>
      <c r="B202" t="s">
        <v>653</v>
      </c>
    </row>
    <row r="203" spans="1:2" x14ac:dyDescent="0.25">
      <c r="A203" t="s">
        <v>654</v>
      </c>
      <c r="B203" t="s">
        <v>655</v>
      </c>
    </row>
    <row r="204" spans="1:2" x14ac:dyDescent="0.25">
      <c r="A204" t="s">
        <v>656</v>
      </c>
      <c r="B204" t="s">
        <v>657</v>
      </c>
    </row>
    <row r="205" spans="1:2" x14ac:dyDescent="0.25">
      <c r="A205" t="s">
        <v>658</v>
      </c>
      <c r="B205" t="s">
        <v>659</v>
      </c>
    </row>
    <row r="206" spans="1:2" x14ac:dyDescent="0.25">
      <c r="A206" t="s">
        <v>660</v>
      </c>
      <c r="B206" t="s">
        <v>661</v>
      </c>
    </row>
    <row r="207" spans="1:2" x14ac:dyDescent="0.25">
      <c r="A207" t="s">
        <v>662</v>
      </c>
      <c r="B207" t="s">
        <v>663</v>
      </c>
    </row>
    <row r="208" spans="1:2" x14ac:dyDescent="0.25">
      <c r="A208" t="s">
        <v>664</v>
      </c>
      <c r="B208" t="s">
        <v>665</v>
      </c>
    </row>
    <row r="209" spans="1:2" x14ac:dyDescent="0.25">
      <c r="A209" t="s">
        <v>666</v>
      </c>
      <c r="B209" t="s">
        <v>667</v>
      </c>
    </row>
    <row r="210" spans="1:2" x14ac:dyDescent="0.25">
      <c r="A210" t="s">
        <v>668</v>
      </c>
      <c r="B210" t="s">
        <v>669</v>
      </c>
    </row>
    <row r="211" spans="1:2" x14ac:dyDescent="0.25">
      <c r="A211" t="s">
        <v>670</v>
      </c>
      <c r="B211" t="s">
        <v>671</v>
      </c>
    </row>
    <row r="212" spans="1:2" x14ac:dyDescent="0.25">
      <c r="A212" t="s">
        <v>672</v>
      </c>
      <c r="B212" t="s">
        <v>673</v>
      </c>
    </row>
    <row r="213" spans="1:2" x14ac:dyDescent="0.25">
      <c r="A213" t="s">
        <v>674</v>
      </c>
      <c r="B213" t="s">
        <v>675</v>
      </c>
    </row>
    <row r="214" spans="1:2" x14ac:dyDescent="0.25">
      <c r="A214" t="s">
        <v>676</v>
      </c>
      <c r="B214" t="s">
        <v>677</v>
      </c>
    </row>
    <row r="215" spans="1:2" x14ac:dyDescent="0.25">
      <c r="A215" t="s">
        <v>296</v>
      </c>
      <c r="B215" t="s">
        <v>297</v>
      </c>
    </row>
    <row r="216" spans="1:2" x14ac:dyDescent="0.25">
      <c r="A216" t="s">
        <v>678</v>
      </c>
      <c r="B216" t="s">
        <v>679</v>
      </c>
    </row>
    <row r="217" spans="1:2" x14ac:dyDescent="0.25">
      <c r="A217" t="s">
        <v>526</v>
      </c>
      <c r="B217" t="s">
        <v>680</v>
      </c>
    </row>
    <row r="218" spans="1:2" x14ac:dyDescent="0.25">
      <c r="A218" t="s">
        <v>681</v>
      </c>
      <c r="B218" t="s">
        <v>682</v>
      </c>
    </row>
    <row r="219" spans="1:2" x14ac:dyDescent="0.25">
      <c r="A219" t="s">
        <v>683</v>
      </c>
      <c r="B219" t="s">
        <v>684</v>
      </c>
    </row>
    <row r="220" spans="1:2" x14ac:dyDescent="0.25">
      <c r="A220" t="s">
        <v>685</v>
      </c>
      <c r="B220" t="s">
        <v>686</v>
      </c>
    </row>
    <row r="221" spans="1:2" x14ac:dyDescent="0.25">
      <c r="A221" t="s">
        <v>687</v>
      </c>
      <c r="B221" t="s">
        <v>688</v>
      </c>
    </row>
    <row r="222" spans="1:2" x14ac:dyDescent="0.25">
      <c r="A222" t="s">
        <v>689</v>
      </c>
      <c r="B222" t="s">
        <v>690</v>
      </c>
    </row>
    <row r="223" spans="1:2" x14ac:dyDescent="0.25">
      <c r="A223" t="s">
        <v>691</v>
      </c>
      <c r="B223" t="s">
        <v>692</v>
      </c>
    </row>
    <row r="224" spans="1:2" x14ac:dyDescent="0.25">
      <c r="A224" t="s">
        <v>693</v>
      </c>
      <c r="B224" t="s">
        <v>694</v>
      </c>
    </row>
    <row r="225" spans="1:2" x14ac:dyDescent="0.25">
      <c r="A225" t="s">
        <v>695</v>
      </c>
      <c r="B225" t="s">
        <v>696</v>
      </c>
    </row>
    <row r="226" spans="1:2" x14ac:dyDescent="0.25">
      <c r="A226" t="s">
        <v>697</v>
      </c>
      <c r="B226" t="s">
        <v>698</v>
      </c>
    </row>
    <row r="227" spans="1:2" x14ac:dyDescent="0.25">
      <c r="A227" t="s">
        <v>699</v>
      </c>
      <c r="B227" t="s">
        <v>700</v>
      </c>
    </row>
    <row r="228" spans="1:2" x14ac:dyDescent="0.25">
      <c r="A228" t="s">
        <v>701</v>
      </c>
      <c r="B228" t="s">
        <v>702</v>
      </c>
    </row>
    <row r="229" spans="1:2" x14ac:dyDescent="0.25">
      <c r="A229" t="s">
        <v>703</v>
      </c>
      <c r="B229" t="s">
        <v>704</v>
      </c>
    </row>
    <row r="230" spans="1:2" x14ac:dyDescent="0.25">
      <c r="A230" t="s">
        <v>705</v>
      </c>
      <c r="B230" t="s">
        <v>706</v>
      </c>
    </row>
    <row r="231" spans="1:2" x14ac:dyDescent="0.25">
      <c r="A231" t="s">
        <v>182</v>
      </c>
      <c r="B231" t="s">
        <v>183</v>
      </c>
    </row>
    <row r="232" spans="1:2" x14ac:dyDescent="0.25">
      <c r="A232" t="s">
        <v>707</v>
      </c>
      <c r="B232" t="s">
        <v>708</v>
      </c>
    </row>
    <row r="233" spans="1:2" x14ac:dyDescent="0.25">
      <c r="A233" t="s">
        <v>122</v>
      </c>
      <c r="B233" t="s">
        <v>123</v>
      </c>
    </row>
    <row r="234" spans="1:2" x14ac:dyDescent="0.25">
      <c r="A234" t="s">
        <v>34</v>
      </c>
      <c r="B234" t="s">
        <v>35</v>
      </c>
    </row>
    <row r="235" spans="1:2" x14ac:dyDescent="0.25">
      <c r="A235" t="s">
        <v>709</v>
      </c>
      <c r="B235" t="s">
        <v>710</v>
      </c>
    </row>
    <row r="236" spans="1:2" x14ac:dyDescent="0.25">
      <c r="A236" t="s">
        <v>711</v>
      </c>
      <c r="B236" t="s">
        <v>712</v>
      </c>
    </row>
    <row r="237" spans="1:2" x14ac:dyDescent="0.25">
      <c r="A237" t="s">
        <v>713</v>
      </c>
      <c r="B237" t="s">
        <v>714</v>
      </c>
    </row>
    <row r="238" spans="1:2" x14ac:dyDescent="0.25">
      <c r="A238" t="s">
        <v>715</v>
      </c>
      <c r="B238" t="s">
        <v>716</v>
      </c>
    </row>
    <row r="239" spans="1:2" x14ac:dyDescent="0.25">
      <c r="A239" t="s">
        <v>717</v>
      </c>
      <c r="B239" t="s">
        <v>718</v>
      </c>
    </row>
    <row r="240" spans="1:2" x14ac:dyDescent="0.25">
      <c r="A240" t="s">
        <v>719</v>
      </c>
      <c r="B240" t="s">
        <v>720</v>
      </c>
    </row>
    <row r="241" spans="1:2" x14ac:dyDescent="0.25">
      <c r="A241" t="s">
        <v>721</v>
      </c>
      <c r="B241" t="s">
        <v>722</v>
      </c>
    </row>
    <row r="242" spans="1:2" x14ac:dyDescent="0.25">
      <c r="A242" t="s">
        <v>723</v>
      </c>
      <c r="B242" t="s">
        <v>724</v>
      </c>
    </row>
    <row r="243" spans="1:2" x14ac:dyDescent="0.25">
      <c r="A243" t="s">
        <v>725</v>
      </c>
      <c r="B243" t="s">
        <v>726</v>
      </c>
    </row>
    <row r="244" spans="1:2" x14ac:dyDescent="0.25">
      <c r="A244" t="s">
        <v>128</v>
      </c>
      <c r="B244" t="s">
        <v>129</v>
      </c>
    </row>
    <row r="245" spans="1:2" x14ac:dyDescent="0.25">
      <c r="A245" t="s">
        <v>132</v>
      </c>
      <c r="B245" t="s">
        <v>133</v>
      </c>
    </row>
    <row r="246" spans="1:2" x14ac:dyDescent="0.25">
      <c r="A246" t="s">
        <v>136</v>
      </c>
      <c r="B246" t="s">
        <v>137</v>
      </c>
    </row>
    <row r="247" spans="1:2" x14ac:dyDescent="0.25">
      <c r="A247" t="s">
        <v>727</v>
      </c>
      <c r="B247" t="s">
        <v>728</v>
      </c>
    </row>
    <row r="248" spans="1:2" x14ac:dyDescent="0.25">
      <c r="A248" t="s">
        <v>729</v>
      </c>
      <c r="B248" t="s">
        <v>730</v>
      </c>
    </row>
    <row r="249" spans="1:2" x14ac:dyDescent="0.25">
      <c r="A249" t="s">
        <v>731</v>
      </c>
      <c r="B249" t="s">
        <v>732</v>
      </c>
    </row>
    <row r="250" spans="1:2" x14ac:dyDescent="0.25">
      <c r="A250" t="s">
        <v>733</v>
      </c>
      <c r="B250" t="s">
        <v>734</v>
      </c>
    </row>
    <row r="251" spans="1:2" x14ac:dyDescent="0.25">
      <c r="A251" t="s">
        <v>138</v>
      </c>
      <c r="B251" t="s">
        <v>139</v>
      </c>
    </row>
    <row r="252" spans="1:2" x14ac:dyDescent="0.25">
      <c r="A252" t="s">
        <v>735</v>
      </c>
      <c r="B252" t="s">
        <v>736</v>
      </c>
    </row>
    <row r="253" spans="1:2" x14ac:dyDescent="0.25">
      <c r="A253" t="s">
        <v>737</v>
      </c>
      <c r="B253" t="s">
        <v>738</v>
      </c>
    </row>
    <row r="254" spans="1:2" x14ac:dyDescent="0.25">
      <c r="A254" t="s">
        <v>142</v>
      </c>
      <c r="B254" t="s">
        <v>143</v>
      </c>
    </row>
    <row r="255" spans="1:2" x14ac:dyDescent="0.25">
      <c r="A255" t="s">
        <v>739</v>
      </c>
      <c r="B255" t="s">
        <v>740</v>
      </c>
    </row>
    <row r="256" spans="1:2" x14ac:dyDescent="0.25">
      <c r="A256" t="s">
        <v>741</v>
      </c>
      <c r="B256" t="s">
        <v>742</v>
      </c>
    </row>
    <row r="257" spans="1:2" x14ac:dyDescent="0.25">
      <c r="A257" t="s">
        <v>743</v>
      </c>
      <c r="B257" t="s">
        <v>744</v>
      </c>
    </row>
    <row r="258" spans="1:2" x14ac:dyDescent="0.25">
      <c r="A258" t="s">
        <v>745</v>
      </c>
      <c r="B258" t="s">
        <v>746</v>
      </c>
    </row>
    <row r="259" spans="1:2" x14ac:dyDescent="0.25">
      <c r="A259" t="s">
        <v>18</v>
      </c>
      <c r="B259" t="s">
        <v>19</v>
      </c>
    </row>
    <row r="260" spans="1:2" x14ac:dyDescent="0.25">
      <c r="A260" t="s">
        <v>747</v>
      </c>
      <c r="B260" t="s">
        <v>748</v>
      </c>
    </row>
    <row r="261" spans="1:2" x14ac:dyDescent="0.25">
      <c r="A261" t="s">
        <v>749</v>
      </c>
      <c r="B261" t="s">
        <v>750</v>
      </c>
    </row>
    <row r="262" spans="1:2" x14ac:dyDescent="0.25">
      <c r="A262" t="s">
        <v>751</v>
      </c>
      <c r="B262" t="s">
        <v>752</v>
      </c>
    </row>
    <row r="263" spans="1:2" x14ac:dyDescent="0.25">
      <c r="A263" t="s">
        <v>753</v>
      </c>
      <c r="B263" t="s">
        <v>754</v>
      </c>
    </row>
    <row r="264" spans="1:2" x14ac:dyDescent="0.25">
      <c r="A264" t="s">
        <v>230</v>
      </c>
      <c r="B264" t="s">
        <v>231</v>
      </c>
    </row>
    <row r="265" spans="1:2" x14ac:dyDescent="0.25">
      <c r="A265" t="s">
        <v>755</v>
      </c>
      <c r="B265" t="s">
        <v>756</v>
      </c>
    </row>
    <row r="266" spans="1:2" x14ac:dyDescent="0.25">
      <c r="A266" t="s">
        <v>757</v>
      </c>
      <c r="B266" t="s">
        <v>758</v>
      </c>
    </row>
    <row r="267" spans="1:2" x14ac:dyDescent="0.25">
      <c r="A267" t="s">
        <v>124</v>
      </c>
      <c r="B267" t="s">
        <v>125</v>
      </c>
    </row>
    <row r="268" spans="1:2" x14ac:dyDescent="0.25">
      <c r="A268" t="s">
        <v>759</v>
      </c>
      <c r="B268" t="s">
        <v>760</v>
      </c>
    </row>
    <row r="269" spans="1:2" x14ac:dyDescent="0.25">
      <c r="A269" t="s">
        <v>761</v>
      </c>
      <c r="B269" t="s">
        <v>762</v>
      </c>
    </row>
    <row r="270" spans="1:2" x14ac:dyDescent="0.25">
      <c r="A270" t="s">
        <v>763</v>
      </c>
      <c r="B270" t="s">
        <v>764</v>
      </c>
    </row>
    <row r="271" spans="1:2" x14ac:dyDescent="0.25">
      <c r="A271" t="s">
        <v>765</v>
      </c>
      <c r="B271" t="s">
        <v>766</v>
      </c>
    </row>
    <row r="272" spans="1:2" x14ac:dyDescent="0.25">
      <c r="A272" t="s">
        <v>767</v>
      </c>
      <c r="B272" t="s">
        <v>768</v>
      </c>
    </row>
    <row r="273" spans="1:2" x14ac:dyDescent="0.25">
      <c r="A273" t="s">
        <v>769</v>
      </c>
      <c r="B273" t="s">
        <v>770</v>
      </c>
    </row>
    <row r="274" spans="1:2" x14ac:dyDescent="0.25">
      <c r="A274" t="s">
        <v>771</v>
      </c>
      <c r="B274" t="s">
        <v>772</v>
      </c>
    </row>
    <row r="275" spans="1:2" x14ac:dyDescent="0.25">
      <c r="A275" t="s">
        <v>773</v>
      </c>
      <c r="B275" t="s">
        <v>774</v>
      </c>
    </row>
    <row r="276" spans="1:2" x14ac:dyDescent="0.25">
      <c r="A276" t="s">
        <v>84</v>
      </c>
      <c r="B276" t="s">
        <v>85</v>
      </c>
    </row>
    <row r="277" spans="1:2" x14ac:dyDescent="0.25">
      <c r="A277" t="s">
        <v>775</v>
      </c>
      <c r="B277" t="s">
        <v>776</v>
      </c>
    </row>
    <row r="278" spans="1:2" x14ac:dyDescent="0.25">
      <c r="A278" t="s">
        <v>777</v>
      </c>
      <c r="B278" t="s">
        <v>778</v>
      </c>
    </row>
    <row r="279" spans="1:2" x14ac:dyDescent="0.25">
      <c r="A279" t="s">
        <v>779</v>
      </c>
      <c r="B279" t="s">
        <v>780</v>
      </c>
    </row>
    <row r="280" spans="1:2" x14ac:dyDescent="0.25">
      <c r="A280" t="s">
        <v>781</v>
      </c>
      <c r="B280" t="s">
        <v>782</v>
      </c>
    </row>
    <row r="281" spans="1:2" x14ac:dyDescent="0.25">
      <c r="A281" t="s">
        <v>38</v>
      </c>
      <c r="B281" t="s">
        <v>39</v>
      </c>
    </row>
    <row r="282" spans="1:2" x14ac:dyDescent="0.25">
      <c r="A282" t="s">
        <v>783</v>
      </c>
      <c r="B282" t="s">
        <v>784</v>
      </c>
    </row>
    <row r="283" spans="1:2" x14ac:dyDescent="0.25">
      <c r="A283" t="s">
        <v>785</v>
      </c>
      <c r="B283" t="s">
        <v>786</v>
      </c>
    </row>
    <row r="284" spans="1:2" x14ac:dyDescent="0.25">
      <c r="A284" t="s">
        <v>787</v>
      </c>
      <c r="B284" t="s">
        <v>788</v>
      </c>
    </row>
    <row r="285" spans="1:2" x14ac:dyDescent="0.25">
      <c r="A285" t="s">
        <v>609</v>
      </c>
      <c r="B285" t="s">
        <v>789</v>
      </c>
    </row>
    <row r="286" spans="1:2" x14ac:dyDescent="0.25">
      <c r="A286" t="s">
        <v>74</v>
      </c>
      <c r="B286" t="s">
        <v>75</v>
      </c>
    </row>
    <row r="287" spans="1:2" x14ac:dyDescent="0.25">
      <c r="A287" t="s">
        <v>790</v>
      </c>
      <c r="B287" t="s">
        <v>791</v>
      </c>
    </row>
    <row r="288" spans="1:2" x14ac:dyDescent="0.25">
      <c r="A288" t="s">
        <v>52</v>
      </c>
      <c r="B288" t="s">
        <v>53</v>
      </c>
    </row>
    <row r="289" spans="1:2" x14ac:dyDescent="0.25">
      <c r="A289" t="s">
        <v>792</v>
      </c>
      <c r="B289" t="s">
        <v>793</v>
      </c>
    </row>
    <row r="290" spans="1:2" x14ac:dyDescent="0.25">
      <c r="A290" t="s">
        <v>66</v>
      </c>
      <c r="B290" t="s">
        <v>67</v>
      </c>
    </row>
    <row r="291" spans="1:2" x14ac:dyDescent="0.25">
      <c r="A291" t="s">
        <v>794</v>
      </c>
      <c r="B291" t="s">
        <v>795</v>
      </c>
    </row>
    <row r="292" spans="1:2" x14ac:dyDescent="0.25">
      <c r="A292" t="s">
        <v>796</v>
      </c>
      <c r="B292" t="s">
        <v>797</v>
      </c>
    </row>
    <row r="293" spans="1:2" x14ac:dyDescent="0.25">
      <c r="A293" t="s">
        <v>798</v>
      </c>
      <c r="B293" t="s">
        <v>799</v>
      </c>
    </row>
    <row r="294" spans="1:2" x14ac:dyDescent="0.25">
      <c r="A294" t="s">
        <v>800</v>
      </c>
      <c r="B294" t="s">
        <v>801</v>
      </c>
    </row>
    <row r="295" spans="1:2" x14ac:dyDescent="0.25">
      <c r="A295" t="s">
        <v>802</v>
      </c>
      <c r="B295" t="s">
        <v>803</v>
      </c>
    </row>
    <row r="296" spans="1:2" x14ac:dyDescent="0.25">
      <c r="A296" t="s">
        <v>804</v>
      </c>
      <c r="B296" t="s">
        <v>805</v>
      </c>
    </row>
    <row r="297" spans="1:2" x14ac:dyDescent="0.25">
      <c r="A297" t="s">
        <v>202</v>
      </c>
      <c r="B297" t="s">
        <v>203</v>
      </c>
    </row>
    <row r="298" spans="1:2" x14ac:dyDescent="0.25">
      <c r="A298" t="s">
        <v>302</v>
      </c>
      <c r="B298" t="s">
        <v>303</v>
      </c>
    </row>
    <row r="299" spans="1:2" x14ac:dyDescent="0.25">
      <c r="A299" t="s">
        <v>806</v>
      </c>
      <c r="B299" t="s">
        <v>807</v>
      </c>
    </row>
    <row r="300" spans="1:2" x14ac:dyDescent="0.25">
      <c r="A300" t="s">
        <v>808</v>
      </c>
      <c r="B300" t="s">
        <v>809</v>
      </c>
    </row>
    <row r="301" spans="1:2" x14ac:dyDescent="0.25">
      <c r="A301" t="s">
        <v>322</v>
      </c>
      <c r="B301" t="s">
        <v>323</v>
      </c>
    </row>
    <row r="302" spans="1:2" x14ac:dyDescent="0.25">
      <c r="A302" t="s">
        <v>330</v>
      </c>
      <c r="B302" t="s">
        <v>331</v>
      </c>
    </row>
    <row r="303" spans="1:2" x14ac:dyDescent="0.25">
      <c r="A303" t="s">
        <v>810</v>
      </c>
      <c r="B303" t="s">
        <v>811</v>
      </c>
    </row>
    <row r="304" spans="1:2" x14ac:dyDescent="0.25">
      <c r="A304" t="s">
        <v>812</v>
      </c>
      <c r="B304" t="s">
        <v>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8CB2-A6C3-4FAF-8FED-C511355A94A3}">
  <dimension ref="A1:B102"/>
  <sheetViews>
    <sheetView workbookViewId="0">
      <selection activeCell="E23" sqref="E23"/>
    </sheetView>
  </sheetViews>
  <sheetFormatPr baseColWidth="10" defaultRowHeight="15" x14ac:dyDescent="0.25"/>
  <cols>
    <col min="1" max="1" width="31.7109375" bestFit="1" customWidth="1"/>
    <col min="2" max="2" width="3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146</v>
      </c>
      <c r="B2" t="s">
        <v>147</v>
      </c>
    </row>
    <row r="3" spans="1:2" x14ac:dyDescent="0.25">
      <c r="A3" t="s">
        <v>148</v>
      </c>
      <c r="B3" t="s">
        <v>149</v>
      </c>
    </row>
    <row r="4" spans="1:2" x14ac:dyDescent="0.25">
      <c r="A4" t="s">
        <v>150</v>
      </c>
      <c r="B4" t="s">
        <v>151</v>
      </c>
    </row>
    <row r="5" spans="1:2" x14ac:dyDescent="0.25">
      <c r="A5" t="s">
        <v>152</v>
      </c>
      <c r="B5" t="s">
        <v>153</v>
      </c>
    </row>
    <row r="6" spans="1:2" x14ac:dyDescent="0.25">
      <c r="A6" t="s">
        <v>154</v>
      </c>
      <c r="B6" t="s">
        <v>155</v>
      </c>
    </row>
    <row r="7" spans="1:2" x14ac:dyDescent="0.25">
      <c r="A7" t="s">
        <v>156</v>
      </c>
      <c r="B7" t="s">
        <v>157</v>
      </c>
    </row>
    <row r="8" spans="1:2" x14ac:dyDescent="0.25">
      <c r="A8" t="s">
        <v>158</v>
      </c>
      <c r="B8" t="s">
        <v>159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160</v>
      </c>
      <c r="B10" t="s">
        <v>161</v>
      </c>
    </row>
    <row r="11" spans="1:2" x14ac:dyDescent="0.25">
      <c r="A11" t="s">
        <v>162</v>
      </c>
      <c r="B11" t="s">
        <v>163</v>
      </c>
    </row>
    <row r="12" spans="1:2" x14ac:dyDescent="0.25">
      <c r="A12" t="s">
        <v>164</v>
      </c>
      <c r="B12" t="s">
        <v>165</v>
      </c>
    </row>
    <row r="13" spans="1:2" x14ac:dyDescent="0.25">
      <c r="A13" t="s">
        <v>166</v>
      </c>
      <c r="B13" t="s">
        <v>167</v>
      </c>
    </row>
    <row r="14" spans="1:2" x14ac:dyDescent="0.25">
      <c r="A14" t="s">
        <v>168</v>
      </c>
      <c r="B14" t="s">
        <v>169</v>
      </c>
    </row>
    <row r="15" spans="1:2" x14ac:dyDescent="0.25">
      <c r="A15" t="s">
        <v>170</v>
      </c>
      <c r="B15" t="s">
        <v>171</v>
      </c>
    </row>
    <row r="16" spans="1:2" x14ac:dyDescent="0.25">
      <c r="A16" t="s">
        <v>64</v>
      </c>
      <c r="B16" t="s">
        <v>65</v>
      </c>
    </row>
    <row r="17" spans="1:2" x14ac:dyDescent="0.25">
      <c r="A17" t="s">
        <v>172</v>
      </c>
      <c r="B17" t="s">
        <v>173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174</v>
      </c>
      <c r="B19" t="s">
        <v>175</v>
      </c>
    </row>
    <row r="20" spans="1:2" x14ac:dyDescent="0.25">
      <c r="A20" t="s">
        <v>176</v>
      </c>
      <c r="B20" t="s">
        <v>177</v>
      </c>
    </row>
    <row r="21" spans="1:2" x14ac:dyDescent="0.25">
      <c r="A21" t="s">
        <v>178</v>
      </c>
      <c r="B21" t="s">
        <v>179</v>
      </c>
    </row>
    <row r="22" spans="1:2" x14ac:dyDescent="0.25">
      <c r="A22" t="s">
        <v>180</v>
      </c>
      <c r="B22" t="s">
        <v>181</v>
      </c>
    </row>
    <row r="23" spans="1:2" x14ac:dyDescent="0.25">
      <c r="A23" t="s">
        <v>182</v>
      </c>
      <c r="B23" t="s">
        <v>183</v>
      </c>
    </row>
    <row r="24" spans="1:2" x14ac:dyDescent="0.25">
      <c r="A24" t="s">
        <v>184</v>
      </c>
      <c r="B24" t="s">
        <v>185</v>
      </c>
    </row>
    <row r="25" spans="1:2" x14ac:dyDescent="0.25">
      <c r="A25" t="s">
        <v>186</v>
      </c>
      <c r="B25" t="s">
        <v>187</v>
      </c>
    </row>
    <row r="26" spans="1:2" x14ac:dyDescent="0.25">
      <c r="A26" t="s">
        <v>188</v>
      </c>
      <c r="B26" t="s">
        <v>189</v>
      </c>
    </row>
    <row r="27" spans="1:2" x14ac:dyDescent="0.25">
      <c r="A27" t="s">
        <v>190</v>
      </c>
      <c r="B27" t="s">
        <v>191</v>
      </c>
    </row>
    <row r="28" spans="1:2" x14ac:dyDescent="0.25">
      <c r="A28" t="s">
        <v>192</v>
      </c>
      <c r="B28" t="s">
        <v>193</v>
      </c>
    </row>
    <row r="29" spans="1:2" x14ac:dyDescent="0.25">
      <c r="A29" t="s">
        <v>194</v>
      </c>
      <c r="B29" t="s">
        <v>195</v>
      </c>
    </row>
    <row r="30" spans="1:2" x14ac:dyDescent="0.25">
      <c r="A30" t="s">
        <v>196</v>
      </c>
      <c r="B30" t="s">
        <v>197</v>
      </c>
    </row>
    <row r="31" spans="1:2" x14ac:dyDescent="0.25">
      <c r="A31" t="s">
        <v>198</v>
      </c>
      <c r="B31" t="s">
        <v>199</v>
      </c>
    </row>
    <row r="32" spans="1:2" x14ac:dyDescent="0.25">
      <c r="A32" t="s">
        <v>200</v>
      </c>
      <c r="B32" t="s">
        <v>201</v>
      </c>
    </row>
    <row r="33" spans="1:2" x14ac:dyDescent="0.25">
      <c r="A33" t="s">
        <v>202</v>
      </c>
      <c r="B33" t="s">
        <v>203</v>
      </c>
    </row>
    <row r="34" spans="1:2" x14ac:dyDescent="0.25">
      <c r="A34" t="s">
        <v>204</v>
      </c>
      <c r="B34" t="s">
        <v>205</v>
      </c>
    </row>
    <row r="35" spans="1:2" x14ac:dyDescent="0.25">
      <c r="A35" t="s">
        <v>206</v>
      </c>
      <c r="B35" t="s">
        <v>207</v>
      </c>
    </row>
    <row r="36" spans="1:2" x14ac:dyDescent="0.25">
      <c r="A36" t="s">
        <v>208</v>
      </c>
      <c r="B36" t="s">
        <v>209</v>
      </c>
    </row>
    <row r="37" spans="1:2" x14ac:dyDescent="0.25">
      <c r="A37" t="s">
        <v>210</v>
      </c>
      <c r="B37" t="s">
        <v>211</v>
      </c>
    </row>
    <row r="38" spans="1:2" x14ac:dyDescent="0.25">
      <c r="A38" t="s">
        <v>212</v>
      </c>
      <c r="B38" t="s">
        <v>213</v>
      </c>
    </row>
    <row r="39" spans="1:2" x14ac:dyDescent="0.25">
      <c r="A39" t="s">
        <v>214</v>
      </c>
      <c r="B39" t="s">
        <v>215</v>
      </c>
    </row>
    <row r="40" spans="1:2" x14ac:dyDescent="0.25">
      <c r="A40" t="s">
        <v>216</v>
      </c>
      <c r="B40" t="s">
        <v>217</v>
      </c>
    </row>
    <row r="41" spans="1:2" x14ac:dyDescent="0.25">
      <c r="A41" t="s">
        <v>218</v>
      </c>
      <c r="B41" t="s">
        <v>219</v>
      </c>
    </row>
    <row r="42" spans="1:2" x14ac:dyDescent="0.25">
      <c r="A42" t="s">
        <v>220</v>
      </c>
      <c r="B42" t="s">
        <v>221</v>
      </c>
    </row>
    <row r="43" spans="1:2" x14ac:dyDescent="0.25">
      <c r="A43" t="s">
        <v>222</v>
      </c>
      <c r="B43" t="s">
        <v>223</v>
      </c>
    </row>
    <row r="44" spans="1:2" x14ac:dyDescent="0.25">
      <c r="A44" t="s">
        <v>224</v>
      </c>
      <c r="B44" t="s">
        <v>225</v>
      </c>
    </row>
    <row r="45" spans="1:2" x14ac:dyDescent="0.25">
      <c r="A45" t="s">
        <v>8</v>
      </c>
      <c r="B45" t="s">
        <v>9</v>
      </c>
    </row>
    <row r="46" spans="1:2" x14ac:dyDescent="0.25">
      <c r="A46" t="s">
        <v>226</v>
      </c>
      <c r="B46" t="s">
        <v>227</v>
      </c>
    </row>
    <row r="47" spans="1:2" x14ac:dyDescent="0.25">
      <c r="A47" t="s">
        <v>228</v>
      </c>
      <c r="B47" t="s">
        <v>229</v>
      </c>
    </row>
    <row r="48" spans="1:2" x14ac:dyDescent="0.25">
      <c r="A48" t="s">
        <v>230</v>
      </c>
      <c r="B48" t="s">
        <v>231</v>
      </c>
    </row>
    <row r="49" spans="1:2" x14ac:dyDescent="0.25">
      <c r="A49" t="s">
        <v>232</v>
      </c>
      <c r="B49" t="s">
        <v>233</v>
      </c>
    </row>
    <row r="50" spans="1:2" x14ac:dyDescent="0.25">
      <c r="A50" t="s">
        <v>234</v>
      </c>
      <c r="B50" t="s">
        <v>235</v>
      </c>
    </row>
    <row r="51" spans="1:2" x14ac:dyDescent="0.25">
      <c r="A51" t="s">
        <v>236</v>
      </c>
      <c r="B51" t="s">
        <v>237</v>
      </c>
    </row>
    <row r="52" spans="1:2" x14ac:dyDescent="0.25">
      <c r="A52" t="s">
        <v>238</v>
      </c>
      <c r="B52" t="s">
        <v>239</v>
      </c>
    </row>
    <row r="53" spans="1:2" x14ac:dyDescent="0.25">
      <c r="A53" t="s">
        <v>240</v>
      </c>
      <c r="B53" t="s">
        <v>241</v>
      </c>
    </row>
    <row r="54" spans="1:2" x14ac:dyDescent="0.25">
      <c r="A54" t="s">
        <v>242</v>
      </c>
      <c r="B54" t="s">
        <v>243</v>
      </c>
    </row>
    <row r="55" spans="1:2" x14ac:dyDescent="0.25">
      <c r="A55" t="s">
        <v>244</v>
      </c>
      <c r="B55" t="s">
        <v>245</v>
      </c>
    </row>
    <row r="56" spans="1:2" x14ac:dyDescent="0.25">
      <c r="A56" t="s">
        <v>246</v>
      </c>
      <c r="B56" t="s">
        <v>247</v>
      </c>
    </row>
    <row r="57" spans="1:2" x14ac:dyDescent="0.25">
      <c r="A57" t="s">
        <v>248</v>
      </c>
      <c r="B57" t="s">
        <v>249</v>
      </c>
    </row>
    <row r="58" spans="1:2" x14ac:dyDescent="0.25">
      <c r="A58" t="s">
        <v>250</v>
      </c>
      <c r="B58" t="s">
        <v>251</v>
      </c>
    </row>
    <row r="59" spans="1:2" x14ac:dyDescent="0.25">
      <c r="A59" t="s">
        <v>252</v>
      </c>
      <c r="B59" t="s">
        <v>253</v>
      </c>
    </row>
    <row r="60" spans="1:2" x14ac:dyDescent="0.25">
      <c r="A60" t="s">
        <v>254</v>
      </c>
      <c r="B60" t="s">
        <v>255</v>
      </c>
    </row>
    <row r="61" spans="1:2" x14ac:dyDescent="0.25">
      <c r="A61" t="s">
        <v>256</v>
      </c>
      <c r="B61" t="s">
        <v>257</v>
      </c>
    </row>
    <row r="62" spans="1:2" x14ac:dyDescent="0.25">
      <c r="A62" t="s">
        <v>258</v>
      </c>
      <c r="B62" t="s">
        <v>259</v>
      </c>
    </row>
    <row r="63" spans="1:2" x14ac:dyDescent="0.25">
      <c r="A63" t="s">
        <v>260</v>
      </c>
      <c r="B63" t="s">
        <v>261</v>
      </c>
    </row>
    <row r="64" spans="1:2" x14ac:dyDescent="0.25">
      <c r="A64" t="s">
        <v>76</v>
      </c>
      <c r="B64" t="s">
        <v>77</v>
      </c>
    </row>
    <row r="65" spans="1:2" x14ac:dyDescent="0.25">
      <c r="A65" t="s">
        <v>262</v>
      </c>
      <c r="B65" t="s">
        <v>263</v>
      </c>
    </row>
    <row r="66" spans="1:2" x14ac:dyDescent="0.25">
      <c r="A66" t="s">
        <v>264</v>
      </c>
      <c r="B66" t="s">
        <v>265</v>
      </c>
    </row>
    <row r="67" spans="1:2" x14ac:dyDescent="0.25">
      <c r="A67" t="s">
        <v>266</v>
      </c>
      <c r="B67" t="s">
        <v>267</v>
      </c>
    </row>
    <row r="68" spans="1:2" x14ac:dyDescent="0.25">
      <c r="A68" t="s">
        <v>20</v>
      </c>
      <c r="B68" t="s">
        <v>21</v>
      </c>
    </row>
    <row r="69" spans="1:2" x14ac:dyDescent="0.25">
      <c r="A69" t="s">
        <v>268</v>
      </c>
      <c r="B69" t="s">
        <v>269</v>
      </c>
    </row>
    <row r="70" spans="1:2" x14ac:dyDescent="0.25">
      <c r="A70" t="s">
        <v>270</v>
      </c>
      <c r="B70" t="s">
        <v>271</v>
      </c>
    </row>
    <row r="71" spans="1:2" x14ac:dyDescent="0.25">
      <c r="A71" t="s">
        <v>272</v>
      </c>
      <c r="B71" t="s">
        <v>273</v>
      </c>
    </row>
    <row r="72" spans="1:2" x14ac:dyDescent="0.25">
      <c r="A72" t="s">
        <v>274</v>
      </c>
      <c r="B72" t="s">
        <v>275</v>
      </c>
    </row>
    <row r="73" spans="1:2" x14ac:dyDescent="0.25">
      <c r="A73" t="s">
        <v>276</v>
      </c>
      <c r="B73" t="s">
        <v>277</v>
      </c>
    </row>
    <row r="74" spans="1:2" x14ac:dyDescent="0.25">
      <c r="A74" t="s">
        <v>278</v>
      </c>
      <c r="B74" t="s">
        <v>279</v>
      </c>
    </row>
    <row r="75" spans="1:2" x14ac:dyDescent="0.25">
      <c r="A75" t="s">
        <v>280</v>
      </c>
      <c r="B75" t="s">
        <v>281</v>
      </c>
    </row>
    <row r="76" spans="1:2" x14ac:dyDescent="0.25">
      <c r="A76" t="s">
        <v>282</v>
      </c>
      <c r="B76" t="s">
        <v>283</v>
      </c>
    </row>
    <row r="77" spans="1:2" x14ac:dyDescent="0.25">
      <c r="A77" t="s">
        <v>284</v>
      </c>
      <c r="B77" t="s">
        <v>285</v>
      </c>
    </row>
    <row r="78" spans="1:2" x14ac:dyDescent="0.25">
      <c r="A78" t="s">
        <v>286</v>
      </c>
      <c r="B78" t="s">
        <v>287</v>
      </c>
    </row>
    <row r="79" spans="1:2" x14ac:dyDescent="0.25">
      <c r="A79" t="s">
        <v>288</v>
      </c>
      <c r="B79" t="s">
        <v>289</v>
      </c>
    </row>
    <row r="80" spans="1:2" x14ac:dyDescent="0.25">
      <c r="A80" t="s">
        <v>290</v>
      </c>
      <c r="B80" t="s">
        <v>291</v>
      </c>
    </row>
    <row r="81" spans="1:2" x14ac:dyDescent="0.25">
      <c r="A81" t="s">
        <v>292</v>
      </c>
      <c r="B81" t="s">
        <v>293</v>
      </c>
    </row>
    <row r="82" spans="1:2" x14ac:dyDescent="0.25">
      <c r="A82" t="s">
        <v>294</v>
      </c>
      <c r="B82" t="s">
        <v>295</v>
      </c>
    </row>
    <row r="83" spans="1:2" x14ac:dyDescent="0.25">
      <c r="A83" t="s">
        <v>296</v>
      </c>
      <c r="B83" t="s">
        <v>297</v>
      </c>
    </row>
    <row r="84" spans="1:2" x14ac:dyDescent="0.25">
      <c r="A84" t="s">
        <v>298</v>
      </c>
      <c r="B84" t="s">
        <v>299</v>
      </c>
    </row>
    <row r="85" spans="1:2" x14ac:dyDescent="0.25">
      <c r="A85" t="s">
        <v>66</v>
      </c>
      <c r="B85" t="s">
        <v>67</v>
      </c>
    </row>
    <row r="86" spans="1:2" x14ac:dyDescent="0.25">
      <c r="A86" t="s">
        <v>300</v>
      </c>
      <c r="B86" t="s">
        <v>301</v>
      </c>
    </row>
    <row r="87" spans="1:2" x14ac:dyDescent="0.25">
      <c r="A87" t="s">
        <v>302</v>
      </c>
      <c r="B87" t="s">
        <v>303</v>
      </c>
    </row>
    <row r="88" spans="1:2" x14ac:dyDescent="0.25">
      <c r="A88" t="s">
        <v>304</v>
      </c>
      <c r="B88" t="s">
        <v>305</v>
      </c>
    </row>
    <row r="89" spans="1:2" x14ac:dyDescent="0.25">
      <c r="A89" t="s">
        <v>306</v>
      </c>
      <c r="B89" t="s">
        <v>307</v>
      </c>
    </row>
    <row r="90" spans="1:2" x14ac:dyDescent="0.25">
      <c r="A90" t="s">
        <v>308</v>
      </c>
      <c r="B90" t="s">
        <v>309</v>
      </c>
    </row>
    <row r="91" spans="1:2" x14ac:dyDescent="0.25">
      <c r="A91" t="s">
        <v>310</v>
      </c>
      <c r="B91" t="s">
        <v>311</v>
      </c>
    </row>
    <row r="92" spans="1:2" x14ac:dyDescent="0.25">
      <c r="A92" t="s">
        <v>312</v>
      </c>
      <c r="B92" t="s">
        <v>313</v>
      </c>
    </row>
    <row r="93" spans="1:2" x14ac:dyDescent="0.25">
      <c r="A93" t="s">
        <v>314</v>
      </c>
      <c r="B93" t="s">
        <v>315</v>
      </c>
    </row>
    <row r="94" spans="1:2" x14ac:dyDescent="0.25">
      <c r="A94" t="s">
        <v>316</v>
      </c>
      <c r="B94" t="s">
        <v>317</v>
      </c>
    </row>
    <row r="95" spans="1:2" x14ac:dyDescent="0.25">
      <c r="A95" t="s">
        <v>318</v>
      </c>
      <c r="B95" t="s">
        <v>319</v>
      </c>
    </row>
    <row r="96" spans="1:2" x14ac:dyDescent="0.25">
      <c r="A96" t="s">
        <v>320</v>
      </c>
      <c r="B96" t="s">
        <v>321</v>
      </c>
    </row>
    <row r="97" spans="1:2" x14ac:dyDescent="0.25">
      <c r="A97" t="s">
        <v>322</v>
      </c>
      <c r="B97" t="s">
        <v>323</v>
      </c>
    </row>
    <row r="98" spans="1:2" x14ac:dyDescent="0.25">
      <c r="A98" t="s">
        <v>324</v>
      </c>
      <c r="B98" t="s">
        <v>325</v>
      </c>
    </row>
    <row r="99" spans="1:2" x14ac:dyDescent="0.25">
      <c r="A99" t="s">
        <v>326</v>
      </c>
      <c r="B99" t="s">
        <v>327</v>
      </c>
    </row>
    <row r="100" spans="1:2" x14ac:dyDescent="0.25">
      <c r="A100" t="s">
        <v>106</v>
      </c>
      <c r="B100" t="s">
        <v>107</v>
      </c>
    </row>
    <row r="101" spans="1:2" x14ac:dyDescent="0.25">
      <c r="A101" t="s">
        <v>328</v>
      </c>
      <c r="B101" t="s">
        <v>329</v>
      </c>
    </row>
    <row r="102" spans="1:2" x14ac:dyDescent="0.25">
      <c r="A102" t="s">
        <v>330</v>
      </c>
      <c r="B102" t="s">
        <v>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DF6B-5901-4657-9C98-978070164697}">
  <dimension ref="A1:B73"/>
  <sheetViews>
    <sheetView workbookViewId="0">
      <selection sqref="A1:XFD1048576"/>
    </sheetView>
  </sheetViews>
  <sheetFormatPr baseColWidth="10" defaultRowHeight="15" x14ac:dyDescent="0.25"/>
  <cols>
    <col min="1" max="1" width="36.140625" bestFit="1" customWidth="1"/>
    <col min="2" max="2" width="4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Consolidado</vt:lpstr>
      <vt:lpstr>ciencia</vt:lpstr>
      <vt:lpstr>ia</vt:lpstr>
      <vt:lpstr>graficas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Ivan Vargas Pineda</dc:creator>
  <cp:lastModifiedBy>Oscar Ivan Vargas Pineda</cp:lastModifiedBy>
  <dcterms:created xsi:type="dcterms:W3CDTF">2026-07-22T04:09:22Z</dcterms:created>
  <dcterms:modified xsi:type="dcterms:W3CDTF">2026-07-22T04:24:41Z</dcterms:modified>
</cp:coreProperties>
</file>